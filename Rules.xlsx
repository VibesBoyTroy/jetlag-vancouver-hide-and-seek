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494feee428bf27a/Documents/Birthday/2026/"/>
    </mc:Choice>
  </mc:AlternateContent>
  <xr:revisionPtr revIDLastSave="77" documentId="11_D42F84AEBC3E4FFDC4DFB339652EB657E94FB15B" xr6:coauthVersionLast="47" xr6:coauthVersionMax="47" xr10:uidLastSave="{BCFE8DD2-D387-4225-9042-242453AADED7}"/>
  <bookViews>
    <workbookView xWindow="29190" yWindow="1110" windowWidth="38730" windowHeight="19095" activeTab="4" xr2:uid="{00000000-000D-0000-FFFF-FFFF00000000}"/>
  </bookViews>
  <sheets>
    <sheet name="Score " sheetId="2" r:id="rId1"/>
    <sheet name="Important Rules" sheetId="3" r:id="rId2"/>
    <sheet name="Hider Deck -&gt;" sheetId="4" r:id="rId3"/>
    <sheet name="Deck Summary" sheetId="5" r:id="rId4"/>
    <sheet name="💀Curses" sheetId="6" r:id="rId5"/>
    <sheet name="Seeker Questions -&gt;" sheetId="7" r:id="rId6"/>
    <sheet name="1. Matching" sheetId="8" r:id="rId7"/>
    <sheet name="2. Measuring" sheetId="9" r:id="rId8"/>
    <sheet name="3. Thermometer" sheetId="10" r:id="rId9"/>
    <sheet name="4. Radar" sheetId="11" r:id="rId10"/>
    <sheet name="5. Tentacles" sheetId="12" r:id="rId11"/>
    <sheet name="6. Photo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C14" i="2"/>
  <c r="C13" i="2"/>
  <c r="B14" i="2"/>
  <c r="B15" i="2"/>
  <c r="B13" i="2"/>
  <c r="D19" i="5"/>
  <c r="D7" i="5"/>
  <c r="L9" i="2"/>
  <c r="K9" i="2"/>
  <c r="G9" i="2"/>
  <c r="D9" i="2"/>
  <c r="C9" i="2"/>
  <c r="B9" i="2"/>
  <c r="L6" i="2"/>
  <c r="G6" i="2"/>
  <c r="J6" i="2" s="1"/>
  <c r="D6" i="2"/>
  <c r="E6" i="2" s="1"/>
  <c r="L5" i="2"/>
  <c r="G5" i="2"/>
  <c r="J5" i="2" s="1"/>
  <c r="E5" i="2"/>
  <c r="D5" i="2"/>
  <c r="L4" i="2"/>
  <c r="G4" i="2"/>
  <c r="J4" i="2" s="1"/>
  <c r="D4" i="2"/>
  <c r="E4" i="2" s="1"/>
  <c r="G3" i="2"/>
  <c r="D3" i="2"/>
  <c r="E3" i="2" s="1"/>
  <c r="E9" i="2" s="1"/>
  <c r="L2" i="2"/>
  <c r="G2" i="2"/>
  <c r="J2" i="2" s="1"/>
  <c r="J9" i="2" s="1"/>
  <c r="E2" i="2"/>
  <c r="D14" i="2" l="1"/>
  <c r="D15" i="2"/>
  <c r="D13" i="2"/>
  <c r="D21" i="5"/>
  <c r="E19" i="5" s="1"/>
  <c r="E7" i="5" l="1"/>
  <c r="E8" i="5"/>
  <c r="E20" i="5"/>
  <c r="E10" i="5"/>
  <c r="E16" i="5"/>
  <c r="E2" i="5"/>
  <c r="E5" i="5"/>
  <c r="E11" i="5"/>
  <c r="E4" i="5"/>
  <c r="E17" i="5"/>
  <c r="E9" i="5"/>
  <c r="E3" i="5"/>
  <c r="E18" i="5"/>
  <c r="E12" i="5"/>
  <c r="E14" i="5"/>
  <c r="E15" i="5"/>
  <c r="E13" i="5"/>
  <c r="E6" i="5"/>
</calcChain>
</file>

<file path=xl/sharedStrings.xml><?xml version="1.0" encoding="utf-8"?>
<sst xmlns="http://schemas.openxmlformats.org/spreadsheetml/2006/main" count="470" uniqueCount="365">
  <si>
    <t>Hider</t>
  </si>
  <si>
    <t>Vancouver Hide &amp; Seek — Rules &amp; Reference</t>
  </si>
  <si>
    <t>Time survived (min)</t>
  </si>
  <si>
    <t>Bonus</t>
  </si>
  <si>
    <t>Total</t>
  </si>
  <si>
    <t>Hider score</t>
  </si>
  <si>
    <t>Winning seeker</t>
  </si>
  <si>
    <t>Winner seeker score</t>
  </si>
  <si>
    <t>Losing seeker</t>
  </si>
  <si>
    <t>Loser seeker distance</t>
  </si>
  <si>
    <t>Loser seeker score</t>
  </si>
  <si>
    <t>Pre-endgame seeking time (min)</t>
  </si>
  <si>
    <t>• This tab consolidates every house rule, formula, and non-obvious mechanic decided for this custom event. Where something differs from the official Jet Lag: The Game rulebook, it's noted.</t>
  </si>
  <si>
    <t>Edgame seeking time (min)</t>
  </si>
  <si>
    <t>T/A</t>
  </si>
  <si>
    <t>Game Structure</t>
  </si>
  <si>
    <t>• 3 teams of 2. Every team is active every round — 1 hides, 2 seek.</t>
  </si>
  <si>
    <t>• 2 days, roughly 8am–4pm each day. Plan for 2–3 rounds per day.</t>
  </si>
  <si>
    <t>• A round ends the moment the FIRST seeking team finds the hider — the round does not wait for the second team.</t>
  </si>
  <si>
    <t>• Round time cap: 150 minutes (2.5 hours). Hard stop regardless of whether anyone has found the hider.</t>
  </si>
  <si>
    <t>• Hide window: 45 minutes for the hider to travel to and settle into their hiding zone before seeking begins.</t>
  </si>
  <si>
    <t>• Hiding zone: every valid hiding spot is a 300m-radius circle, centred exactly on its map pin.</t>
  </si>
  <si>
    <t>Map &amp; Round Start Points</t>
  </si>
  <si>
    <t>• Custom network only — not the full TransLink system: Expo, Millennium &amp; Canada Lines; R2, R4 &amp; R5 RapidBus; the 99 B-Line; plus 9 "wildcard" landmark zones (Stanley Park, Queen Elizabeth Park, Vanier Park, English Bay Beach, Trout Lake, Gastown, Granville Island, Kitsilano Beach, Denman &amp; Georgia).</t>
  </si>
  <si>
    <t>• Wildcard landmark zones count as their own "Wildcard" transit line for the Matching: Transit Line question.</t>
  </si>
  <si>
    <t>• 98 hiding zones total, split across 6 custom regions: Downtown, Vancouver, Burnaby, New Westminster, Richmond, North Shore.</t>
  </si>
  <si>
    <t>• Regions are the hand-drawn polygons on the shared map — NOT Google's neighbourhood boundaries. Always check the map for Region questions, never Google.</t>
  </si>
  <si>
    <t>• Round 1 starts at Science World. Every later round starts at the SkyTrain station nearest to where the previous round's hider was found.</t>
  </si>
  <si>
    <t>M/C</t>
  </si>
  <si>
    <t>Round 4+ Role Choice (house rule — not in the base game)</t>
  </si>
  <si>
    <t>• Rounds 1–3: fixed rotation. Each team hides exactly once. Order is random.</t>
  </si>
  <si>
    <t>• From Round 4 on: whichever team found the hider FIRST in the previous round chooses whether their team hides or seeks in the next round, unless that team is winning the game, in which case the other seeking team chooses.</t>
  </si>
  <si>
    <t>Seeker Questions — Cost &amp; Answer Window</t>
  </si>
  <si>
    <t>Question</t>
  </si>
  <si>
    <t>Cost</t>
  </si>
  <si>
    <t>Answer window</t>
  </si>
  <si>
    <t>Notes</t>
  </si>
  <si>
    <t>Matching</t>
  </si>
  <si>
    <t>A/R</t>
  </si>
  <si>
    <t>Draw 2, Keep 1</t>
  </si>
  <si>
    <t>5 min</t>
  </si>
  <si>
    <t>Card</t>
  </si>
  <si>
    <t>&lt;500m</t>
  </si>
  <si>
    <t>Measuring</t>
  </si>
  <si>
    <t>Thermometer</t>
  </si>
  <si>
    <t>Radar</t>
  </si>
  <si>
    <t>Draw 3, Keep 1</t>
  </si>
  <si>
    <t>Qty</t>
  </si>
  <si>
    <t>Tentacles</t>
  </si>
  <si>
    <t>Ods</t>
  </si>
  <si>
    <t>Draw 4, Keep 2</t>
  </si>
  <si>
    <t>Only usable during endgame</t>
  </si>
  <si>
    <t>Photo</t>
  </si>
  <si>
    <t>Draw 1</t>
  </si>
  <si>
    <t>10 min</t>
  </si>
  <si>
    <t>Longer answer window — hiders need extra time to find/take/send a usable photo</t>
  </si>
  <si>
    <t>• Repeated questions cost more each time (official rule): asking the same question a 2nd time costs double, a 3rd time triple, and so on. Track this per team — the two seeking teams do NOT share a counter.</t>
  </si>
  <si>
    <t>Time Bonus</t>
  </si>
  <si>
    <t>Seekers and Seeking Questions</t>
  </si>
  <si>
    <t>• Source of truth: Google Maps' own category label and result LIST — not necessarily the map pins. Be sure to zoom in on your own position, search the agreed term, and read the sorted list; the list never hides entries the way decluttered pins can at low zoom.</t>
  </si>
  <si>
    <t>• When asking questions, especially those where your specific location matters (radars, measuring), you should use the WhatsApp share current location functionality to share your exact location with the hiders when sending the question to lock in your reference point.</t>
  </si>
  <si>
    <t xml:space="preserve">A/R </t>
  </si>
  <si>
    <t>• For matching and measuring questions, seekers should give hiders info on their relative location to the thing in question. For instance, when asking if thei hiders' closest Earnest is the same as theirs, they should include which Earnest they are closest to as of asking the question.</t>
  </si>
  <si>
    <t>• Seekers may ask the same question again for double the cost. Can ask a third time for triple, etc.</t>
  </si>
  <si>
    <t>Red
2m, 3m, 5m</t>
  </si>
  <si>
    <t>• When asking a thermometer question, seekers must message the hiders when and where (at which stop/station) they are starting the thermometer and what type of thermometer it is (seekers must be at the stop/station when sending the message). They must then send a second message once they complete the thermometer and where they ended it.</t>
  </si>
  <si>
    <t>• Seekers may only ask one question at a time.</t>
  </si>
  <si>
    <t>• Seekers may not use Google Street View or any other search tool to investigate photo responses.</t>
  </si>
  <si>
    <t>Hiders and Hider Deck</t>
  </si>
  <si>
    <t>Curse</t>
  </si>
  <si>
    <t>• You may play multiple curses at once, but there cannot be more than one active curse preventing the seekers from asking questions or taking transit. If a curse is actively preventing the seekers from asking questions or taking transit, you must wait for the curse to be cleared before you can play another. In these cases, the seekers must inform you once they have cleared a curse.</t>
  </si>
  <si>
    <t>N/A</t>
  </si>
  <si>
    <t>• Bonus time in play: the SMALL number on every multi-tier card (not Medium or Large). We are playing hybrid medium/small game - I will make sure it is clear what cards use which ruleset.</t>
  </si>
  <si>
    <t>• Hider's hand size is 6 cards. You are able to draw your 7th+ card before deciding which from your hand to use/discard. Keep discarded or used cards separate from the rest of the remaining hiding deck.</t>
  </si>
  <si>
    <t>• The hiders will have a single hand of cards that both seeker teams will feed. Hiders may use their discretion to allocate curses to whichever team they choose.</t>
  </si>
  <si>
    <t>• When playing a curse, send a picture of the card to the team(s) it affects.</t>
  </si>
  <si>
    <t>Text</t>
  </si>
  <si>
    <t>For all time bonuses, we will be taking the "small" game amount (first number). Please note that some cards refer to a "5-minute bonus", which refers to the "large" game amount; this will still be the red cards for our game. However, when discarding a cumulative amount of time to meet a casting cost requirement, use the actual values applicable for our game ('small' amounts).</t>
  </si>
  <si>
    <t>Orange
4m, 6m, 10m</t>
  </si>
  <si>
    <r>
      <rPr>
        <sz val="11"/>
        <color theme="1"/>
        <rFont val="&quot;Roboto Condensed&quot;"/>
      </rPr>
      <t xml:space="preserve">• Be sure to answer questions within the required window of time. I recommend splitting the responsibility between the hiders for each seeking team's questions (but obviously do still collaborate when there is judgement involved). </t>
    </r>
    <r>
      <rPr>
        <b/>
        <i/>
        <sz val="11"/>
        <color theme="1"/>
        <rFont val="&quot;Roboto Condensed&quot;"/>
      </rPr>
      <t>Any additional time taken to respond is taken off of final score.</t>
    </r>
  </si>
  <si>
    <t>• Hiders may not curse a team before responding to their outstanding question.</t>
  </si>
  <si>
    <t>• Hiders may not draw cards for a question until they have answered it.</t>
  </si>
  <si>
    <t>• Any locations that are a junction of different transit lines (identified as red pins on game map) count as multiple tranit lines for the transit line question.</t>
  </si>
  <si>
    <t>Take a photo of a wild fish, bird, mammal, reptile, amphibian or bug. The seeker(s) must take a picture of a wild animal in the same category before  asking another question.</t>
  </si>
  <si>
    <t>• Wildcard locations (dark purple pins not associated with a transit line) count as one collective "transit line"</t>
  </si>
  <si>
    <t>• For all seeker questions, "you" refers to the center pin of your hiding zone, not your current location. For instance, measure from center of zone pin and determine region based on center of zone pin, even if hiding radius borders two regions. Once in the endgame, "you" will switch to being where you physically are within your zone.</t>
  </si>
  <si>
    <t>Casting Cost</t>
  </si>
  <si>
    <t>• If on transit after 45 minutes have elapsed for the hiding time, you must get off at the next stop. We will give a 5 minute grace period before time starts each round. Manage your time effectively and do not push it if it is not clear you will be at the final location within the allocated time.</t>
  </si>
  <si>
    <t>• Take a picture of your final hand and the end of the game to validate time bonuses</t>
  </si>
  <si>
    <t>Yellow
6m, 9m, 15m</t>
  </si>
  <si>
    <t>A photo of an animal</t>
  </si>
  <si>
    <t>• Once in endgame, photo questions will become more tricky to answer. Hiders must answer questions without moving from their hiding spot. If a question is truly unanswerable, a null answer is a valid response and you still draw cards. This is applicable throughout the game.</t>
  </si>
  <si>
    <t xml:space="preserve">• If seekers enter the endgame within 5 minutes of you answering a photo question, you may call a pause to the game timer for 5 minutes to be able to reposition to your desired hiding spot. Both teams of seekers must exit transit and stop moving. </t>
  </si>
  <si>
    <t>• Hiding spots must be free and publicly accessible for the entire round — no paid attractions, and nothing that could close before the round realistically ends. Must hide within 10ft of a path/area designed for pedestrians (ex. beach or picnic area is fine, dense forest is not [beyond 10ft of path])</t>
  </si>
  <si>
    <t>• No hiding anywhere that could reasonably be considered unsafe (ex. don't hide where a car could go) and don't hide anywhere you can only get to by going through an unsafe area (ex. up a ramp for cars only).</t>
  </si>
  <si>
    <t>• No hiding in washrooms</t>
  </si>
  <si>
    <t>Green
8m, 12m, 20m</t>
  </si>
  <si>
    <t>• No hiding in parking garages</t>
  </si>
  <si>
    <t xml:space="preserve">• There is no need to announce to seekers when activating cards that only impact the hiders' hand (such as Duplicate or Discard 1, Draw 2 for instance). </t>
  </si>
  <si>
    <t>• All photos must use the phone's default aspect ratio and resolution without distortion or effects. You may use up to 3x zoom when taking photos (unless otherwise specified), but you cannot crop photos. Identifiable text may be obscured by editing the picture with a digital marker.</t>
  </si>
  <si>
    <t>For the next three questions, you may draw (not keep) an additional card when drawing from the hider deck</t>
  </si>
  <si>
    <t>• Photos must not be obscured by the hiding team themselves, outside of the selfie photo.</t>
  </si>
  <si>
    <t>• While in the endgame, hiders may not move from their position. Imagine a 1m x 1m box on the ground that you cannot leave.</t>
  </si>
  <si>
    <t>Blue
12m, 18m, 30m</t>
  </si>
  <si>
    <t>Discard a card</t>
  </si>
  <si>
    <t>Scoring Formulas</t>
  </si>
  <si>
    <t>Hider score (per round hidden):</t>
  </si>
  <si>
    <t>• = (minutes survived + net bonus minutes banked − 60) ÷ 120 × 100</t>
  </si>
  <si>
    <t>• No upper cap — a large bonus haul can push a single round's score over 100.</t>
  </si>
  <si>
    <t>Choose any publicly-accessible place within 500m of the seeker(s) current location. They cannot currently be on transit. They must go there, and spend at least 5 minutes there, before asking another question. They must send you at least three photos of them enjoying their vacation, and procure an object to bring you as souvenir. If this souvenir is lost before they can get to you, you are awarded and extra 30 minutes.</t>
  </si>
  <si>
    <t>Seeker score — WINNING team (found the hider first):</t>
  </si>
  <si>
    <t>• = (150 − minutes to find) ÷ 120 × 100</t>
  </si>
  <si>
    <t>Seeker score — LOSING team (found second, or didn't find them):</t>
  </si>
  <si>
    <t>• = winning team's score (or score cap) × distance band (see table below)</t>
  </si>
  <si>
    <t>Distance from hider when round ended</t>
  </si>
  <si>
    <t>% of winning team's score</t>
  </si>
  <si>
    <t>0 – 499 m</t>
  </si>
  <si>
    <t>Take a photo of a car. The seekers must take a photo of a more expensive car before asking another question.</t>
  </si>
  <si>
    <t>Averages</t>
  </si>
  <si>
    <t>500 – 999 m</t>
  </si>
  <si>
    <t>Power Ups</t>
  </si>
  <si>
    <t>A photo of a car</t>
  </si>
  <si>
    <t>1,000 – 1,499 m</t>
  </si>
  <si>
    <t>1,500 – 1,999 m</t>
  </si>
  <si>
    <t>Randomize</t>
  </si>
  <si>
    <t>2,000 – 2,499 m</t>
  </si>
  <si>
    <t>The seekers must ask their next question from under a bridge</t>
  </si>
  <si>
    <t>(continues) −5% every additional 500m …</t>
  </si>
  <si>
    <t>9,500 m or more</t>
  </si>
  <si>
    <t>Casting Cost (small)</t>
  </si>
  <si>
    <t>Seekers Must be at least 2km from you</t>
  </si>
  <si>
    <t>• Distance is measured straight-line via Google Maps, at the moment the round ends — the losing team drops a pin at their location the instant the winning team's find is confirmed.</t>
  </si>
  <si>
    <t>Final score:</t>
  </si>
  <si>
    <t>Instead of answering question from seekers, a new unanswered question from same category is randomly selected.</t>
  </si>
  <si>
    <t>For the next 1 hour, whenever the seeker(s) want to pass through a doorway into a building, business, train, or other vehicle they must first roll 2 dice. If they do not roll a 7 or higher they cannot enter that space (including through other doorways) any given doorway can be reattempted after 10 minutes.</t>
  </si>
  <si>
    <t>• = (best hiding score + best seeking score) ÷ 2</t>
  </si>
  <si>
    <t>Veto</t>
  </si>
  <si>
    <t>• Highest final score across the whole event wins.</t>
  </si>
  <si>
    <t>Discard 2 cards</t>
  </si>
  <si>
    <t>Endgame</t>
  </si>
  <si>
    <t>You have one attempt to stack as many rocks on top of each other as you can in a freestanding tower. Each rock may only touch one other rock. Once you have added a rock to the tower it may not be removed. Before adding another rock, the tower must stand for at least 5 seconds. If at any point any rock other then the base rock touches the ground, your tower has fallen. Once your tower falls tell the seekers how many rocks high your tower was when it last stood for five seconds. The seekers must then construct a rock tower of the same number of rucks, under the same parameters before asking another question. If their tower falls they must restart. The rocks must be found in nature and both teams must  disperse the rocks after building.</t>
  </si>
  <si>
    <t>Duplicate</t>
  </si>
  <si>
    <t>Build a rock tower</t>
  </si>
  <si>
    <r>
      <rPr>
        <sz val="11"/>
        <color theme="1"/>
        <rFont val="&quot;Roboto Condensed&quot;"/>
      </rPr>
      <t>• Seeking teams may NOT split up at any point. While there is no hard rule here, teammates should always be within reasonable speaking distance (</t>
    </r>
    <r>
      <rPr>
        <i/>
        <sz val="11"/>
        <color theme="1"/>
        <rFont val="&quot;Roboto Condensed&quot;"/>
      </rPr>
      <t>goes without saying, but no splitting up before the endgame too</t>
    </r>
    <r>
      <rPr>
        <sz val="11"/>
        <color theme="1"/>
        <rFont val="&quot;Roboto Condensed&quot;"/>
      </rPr>
      <t>).</t>
    </r>
  </si>
  <si>
    <t>• To trigger an endgame zone check, simply ask the hiders "are we in your zone?"</t>
  </si>
  <si>
    <t xml:space="preserve">               • Wrong guess: the hider draws 1 card. No time penalty, no cooldown — the seeking team may try again immediately.</t>
  </si>
  <si>
    <t>For the rest of the run seekers cannot ask question when they are on transit or in a train station</t>
  </si>
  <si>
    <t>Move</t>
  </si>
  <si>
    <t xml:space="preserve">               • Correct guess: the hider freezes in place at that exact spot for the rest of the round. Seekers may keep asking questions to narrow down their search.</t>
  </si>
  <si>
    <t>• "Found" means definitive visual confirmation of the hiding team and seekers are within 2 meters.</t>
  </si>
  <si>
    <t>Discard hand and send your original location to the seekers. Seekers are frozen for 20 minutes while you may relocate to new hiding zone. Timer is paused while moving.</t>
  </si>
  <si>
    <t>Discard 1 Draw 2</t>
  </si>
  <si>
    <t>• The endgame confirmation should be sent to the other seeking team as well to let them know that the hiders will no longer be able to move around to answer photo questions (if applicable).</t>
  </si>
  <si>
    <t>• The endgame question must be answered immediately upon receiving by the hiders.</t>
  </si>
  <si>
    <t>Seekers must enter and gain admission (if applicable) to a location or buy a product that they saw an advertisement for before asking another question. This advertisement musts be found out in the world and must be at least 30m from the product or location itself.</t>
  </si>
  <si>
    <t>Discard 2 Draw 3</t>
  </si>
  <si>
    <t>The seekers next question is free</t>
  </si>
  <si>
    <t>• Seekers must type "found" in global chat to lock in time and to let other seeking team know to send their location for scoring purposes.</t>
  </si>
  <si>
    <t>Draw 1 Expand 1</t>
  </si>
  <si>
    <t>• Hiding team must determine their orientation when in their final hiding spot. "In front of you" must always be the same direction for the purposes of photo questions.</t>
  </si>
  <si>
    <t>Find a restaurant within your zone that explicitly serves food from a specific foreign country. The seekers must visit a restaurant serving food from a country that is equal or great distance away before asking another question</t>
  </si>
  <si>
    <t>You must be at the restaurant</t>
  </si>
  <si>
    <t>Draw 2 Expand 2</t>
  </si>
  <si>
    <t>Travel</t>
  </si>
  <si>
    <t>Discard 3 Draw 4</t>
  </si>
  <si>
    <t>You have one chance to film a bird for as long as possible. Up to 10 minutes straight, if at any point the bird leaves the frame your timer is stopped. The seekers must then film a bird for the same amount of time or longer</t>
  </si>
  <si>
    <t>• The game map's pins may be centered on stops that are not centered on a bus line going in the direction you are heading (for instance, centered on the westbound bus rather than eastbound). Use the game map's pin when in doubt. Similarly, for wild card spots, the "stop" or "station" is just where the pin is located.</t>
  </si>
  <si>
    <t>Film a bird</t>
  </si>
  <si>
    <t>Discard Me</t>
  </si>
  <si>
    <t>• Teams must only ever use the main transit lines (Sky Trains, Rapid Buses, Sea Bus) unless deliberately travelling to a Wild Card zone, in which case other forms of public transit are allowed. An exception to this rule is that teams may choose to walk, bike, or scooter between zones.</t>
  </si>
  <si>
    <t>Discard this card to fulfill a casting cost of a curse that requires discarding cards</t>
  </si>
  <si>
    <t>For the rest of the run, one random category of questions will be disabled at all times. After this curse is played seeker(s) must roll a die to determine the category of questions to be disabled. The catergy remain disabled until the next question is asked at which point a die is rolled again to choose an e category. The same category can be disabled multiple times in a row</t>
  </si>
  <si>
    <t>Summary:</t>
  </si>
  <si>
    <t>Time Trap (small)</t>
  </si>
  <si>
    <t>General</t>
  </si>
  <si>
    <t>Discard a time bonus card</t>
  </si>
  <si>
    <t>Plant a mine on a transit location and inform all seekers. Every 15 minutes the value of the trap increases by 4 minutes (starts at 4 minutes). Once a team enters the hiding zone of that transit location, the cumulative value is added as bonus time for the hiders. Seekers may attempt to transit around a hiding zone in order to avoid the trap.</t>
  </si>
  <si>
    <t>• There is a level of honour and judgement that is required to play this game: drawing hider deck cards appropriately, completing curses correctly, etc. Do not abuse this please.</t>
  </si>
  <si>
    <t>Choose three questions in different categories. The seekers cannot ask those questions for the rest of the run.</t>
  </si>
  <si>
    <t>Team</t>
  </si>
  <si>
    <t>Discard your hand</t>
  </si>
  <si>
    <t>• While not required, feel free to take pictures/videos throughout when completing tasks or otherwise to look back on after (as well as verify things)</t>
  </si>
  <si>
    <t>Best Hiding Score</t>
  </si>
  <si>
    <t>Curse of the Chasm</t>
  </si>
  <si>
    <t xml:space="preserve">For the next three questions that the seekers ask, they must roll a die. If they roll a 1, 2, 3, or 4, that question is automatically randomized.
</t>
  </si>
  <si>
    <t>• What to pack: water, rain jacket/umbrella (weather dependant), snacks, power banks + chargers, compass cards</t>
  </si>
  <si>
    <t>Discard a randomize.</t>
  </si>
  <si>
    <t>Best Seeking Score</t>
  </si>
  <si>
    <t>Total Score</t>
  </si>
  <si>
    <t xml:space="preserve">Curse of the Divine Blessing
</t>
  </si>
  <si>
    <t>For the rest of the round, keep all cards drawn. Hand size limit still applies.</t>
  </si>
  <si>
    <t>💀</t>
  </si>
  <si>
    <t>Discard 3 curses.</t>
  </si>
  <si>
    <t>Curses</t>
  </si>
  <si>
    <t>Curse of the Pomologist</t>
  </si>
  <si>
    <t>Send the seekers a photo of a fruit, along with a link to its corresponding Wikipedia page. They must find the same type of fruit before asking another question.</t>
  </si>
  <si>
    <t>A photo of a fruit.</t>
  </si>
  <si>
    <t>• Ensure Compass Cards are loaded with a Day Pass before starting the game.</t>
  </si>
  <si>
    <t>Curse of the Trickster</t>
  </si>
  <si>
    <t>Deck Total</t>
  </si>
  <si>
    <t>You may lie - or provide a false photo - for one of the next three questions that the seekers ask. As always, you must send a photo of this curse when cast.</t>
  </si>
  <si>
    <t>Discard a curse.</t>
  </si>
  <si>
    <t>Curse of the Bargain Hunter</t>
  </si>
  <si>
    <t>Send the seekers a picture of a discounted price tag (or other written discount) that you found in the real world. They must find an item that is equally (or more) discounted, by percentage, before asking another question.</t>
  </si>
  <si>
    <t>A photo of a price tag.</t>
  </si>
  <si>
    <t>Curse of the Oracle (small)</t>
  </si>
  <si>
    <t>Seekers must flip a coin and predict its outcome while it is in the air. If they are correct, they do it again. If they are wrong, they must wait 1 minutes. They may not ask another question until they get it correct three times in a row.</t>
  </si>
  <si>
    <t>Discard two cards.</t>
  </si>
  <si>
    <t>Curse of the 5-Minute King</t>
  </si>
  <si>
    <t>Remove all 5-minute bonuses (red bonuses) from the deck for the rest of your run. After doing so, you must reshuffle the deck.</t>
  </si>
  <si>
    <t>Discard two 5-minute bonus cards.</t>
  </si>
  <si>
    <t>Curse of the Prosperous Home</t>
  </si>
  <si>
    <t>Expand the radius of your hiding zone by 50%.</t>
  </si>
  <si>
    <t>Discard at least 10 minutes worth of time bonuses.</t>
  </si>
  <si>
    <t>Curse of the Queue</t>
  </si>
  <si>
    <t>Seekers may not ask another question until they've waited in line for at least five minutes. They may wait in different lines, but they cannot wait in the same line more than once. They may not let people cut in front of them in line, and lines must have at least two people when they enter them.</t>
  </si>
  <si>
    <t>You must currently be in line somewhere.</t>
  </si>
  <si>
    <t>Curse of the Plagued Word (small)</t>
  </si>
  <si>
    <t>For the next 1 hour, asking a question creates a 0.5 km radius where questions cannot be asked until this curse expires.</t>
  </si>
  <si>
    <t>Seekers must be at least 2 km from you.</t>
  </si>
  <si>
    <t>Curse of the Pong Champion (small)</t>
  </si>
  <si>
    <t>Throw a die into a container (maximum 15 cm in diameter) from any distance you choose. You have three attempts. Seekers must throw a die into a container from the same horizontal distance before asking another question, but must wait 3 minutes between attempts.</t>
  </si>
  <si>
    <t>Successfully land the die in three attempts.</t>
  </si>
  <si>
    <t>Curse of the Rewind</t>
  </si>
  <si>
    <t>Seekers must ask their next question from the exact place they asked their last question.</t>
  </si>
  <si>
    <t>The last question must have been asked during the end game.</t>
  </si>
  <si>
    <t>Curse of the Gilded Inquiry</t>
  </si>
  <si>
    <t>Secretly choose one question. If the seekers ask that question after this curse is played, the question is automatically vetoed and you instantly draw and keep three extra cards.</t>
  </si>
  <si>
    <t>The seekers' next question is free.</t>
  </si>
  <si>
    <t>Curse of the Blind Wanderer (small)</t>
  </si>
  <si>
    <t>Seekers must ask their next question at least 2 km from where they are right now.</t>
  </si>
  <si>
    <t>Seekers must be at least 4 km from you.</t>
  </si>
  <si>
    <t>Curse of the Shrewd Critic</t>
  </si>
  <si>
    <t>Without using the internet, the seekers must find and visit a location (going inside or immediately outside) that has at least a 4.3 star average rating on Google Maps before asking another question. If their guess was wrong, they must wait 5 minutes before guessing another location. They cannot be on transit when submitting a guess.</t>
  </si>
  <si>
    <t>Seekers must be currently off-transit within 150 metres of a location that has at least a 4.3 star average rating on Google Maps.</t>
  </si>
  <si>
    <t>Curse of the Long Shot (small)</t>
  </si>
  <si>
    <t>Once this curse is cast, the seekers have five minutes to provide one guess as to what transit station you are centered at. If they are correct, you must tell them so. If they are incorrect, they are frozen for 18 minutes.</t>
  </si>
  <si>
    <t>Seekers must be within 3 km of you.</t>
  </si>
  <si>
    <t>Curse of the Tiny Home</t>
  </si>
  <si>
    <t>All time bonus cards held at the end of this round are worth 50% extra.</t>
  </si>
  <si>
    <t>The radius of your hiding zone is halved. This curse cannot be played during the endgame.</t>
  </si>
  <si>
    <t>Curse of the Soothsayer</t>
  </si>
  <si>
    <t>For the rest of the round, you may choose to predict the next question after each question is asked. If you are right, you earn triple rewards. If you are wrong, you earn no reward.</t>
  </si>
  <si>
    <t>Curse of the Express Route (small)</t>
  </si>
  <si>
    <t>Seekers cannot disembark any transit for the next 10 minutes, unless they've reached the end of a line.</t>
  </si>
  <si>
    <t>Curse of the Archaeologist</t>
  </si>
  <si>
    <t>Send the seekers a photo of a building or structure whose age you can verify to within a century. The seekers must find a building or structure (whose age they can also verify) from the same century or earlier before asking another question.</t>
  </si>
  <si>
    <t>A standard photo of a building or structure.</t>
  </si>
  <si>
    <t>Curse of the Void</t>
  </si>
  <si>
    <t>For the next three questions the seekers ask, roll a die. If you roll a 1, 2, 3, or 4, that question is automatically vetoed.</t>
  </si>
  <si>
    <t>Discard a veto.</t>
  </si>
  <si>
    <t>Curse of the Sniper</t>
  </si>
  <si>
    <t>Send the seekers a photo you've taken of them. Upon receiving this curse, they have 60 seconds to take a photo of you and end your run. If they fail, draw and keep five cards. You no longer have a maximum hand size.</t>
  </si>
  <si>
    <t>A photo of the seekers.</t>
  </si>
  <si>
    <t>Curse of the Open Mind</t>
  </si>
  <si>
    <t>You no longer have a hand size limit.</t>
  </si>
  <si>
    <t>Discard your hand.</t>
  </si>
  <si>
    <t>Curse of the License Plate</t>
  </si>
  <si>
    <t>The seekers must send a picture of a non-BC license plate before asking another question.</t>
  </si>
  <si>
    <t>Curse of 22 (custom)</t>
  </si>
  <si>
    <t>The seekers cannot ask another question until they send a picture of a "natural" 22. Natural 22 = The 22 must not be handwritten or created/manipulated by the seekers in any way. The 2s may be separated by a symbol (ie. "2.2") but not another number or letter.</t>
  </si>
  <si>
    <t>Send a picture of a "natural" 22.</t>
  </si>
  <si>
    <t>Cost:</t>
  </si>
  <si>
    <t>Time:</t>
  </si>
  <si>
    <t>5 Minutes</t>
  </si>
  <si>
    <t>Question:</t>
  </si>
  <si>
    <t>Is your nearest _____ the same as my nearest _____?</t>
  </si>
  <si>
    <t>Transit Line</t>
  </si>
  <si>
    <t>Wildcard spots are considered a single transit line</t>
  </si>
  <si>
    <t>Station's Name Length</t>
  </si>
  <si>
    <t>Compared to me, are you closer to or further from _____? (blank must be filled by the generic category, not a specific location within the category)</t>
  </si>
  <si>
    <r>
      <rPr>
        <sz val="10"/>
        <color theme="1"/>
        <rFont val="Roboto Condensed"/>
      </rPr>
      <t xml:space="preserve">"Is your hiding zone name longer than mine?" (seekers to specify which location if not obvious). </t>
    </r>
    <r>
      <rPr>
        <b/>
        <sz val="10"/>
        <color theme="1"/>
        <rFont val="Roboto Condensed"/>
      </rPr>
      <t>*Use the game map pin names to determine length*</t>
    </r>
  </si>
  <si>
    <t>Region</t>
  </si>
  <si>
    <t>"Are you in the same region as I am?" (based on game map filter)</t>
  </si>
  <si>
    <t>A Region Border</t>
  </si>
  <si>
    <t>Movie Theatre</t>
  </si>
  <si>
    <t>Hospital</t>
  </si>
  <si>
    <t>Based on game map filter</t>
  </si>
  <si>
    <t>Earnest Ice Cream</t>
  </si>
  <si>
    <t>Excludes Granville Island pin currently on Maps</t>
  </si>
  <si>
    <t>Cactus Club Cafe</t>
  </si>
  <si>
    <t>A Coastline</t>
  </si>
  <si>
    <t>Breka Bakery &amp; Cafe</t>
  </si>
  <si>
    <t>Casino</t>
  </si>
  <si>
    <t xml:space="preserve">Fraser river, Burrard Inlet, Vancouver Harbour, False Creek, Straight of Georgia, English Bay (does not include lakes, ponds, etc.) </t>
  </si>
  <si>
    <t>Parq, Grand Villa, Hastings, River Rock, Great Canadian, Starlight</t>
  </si>
  <si>
    <t>Stadium/Arena</t>
  </si>
  <si>
    <t>Costco</t>
  </si>
  <si>
    <t>A Mountain</t>
  </si>
  <si>
    <t>Include's only Burnaby Mountain and North Shore mountains</t>
  </si>
  <si>
    <t>A Park</t>
  </si>
  <si>
    <t>Anything correctly classified as a park by your mapping app. Measure to the park's icon on the map.</t>
  </si>
  <si>
    <t>Golf Course</t>
  </si>
  <si>
    <t>An outdoor golf course. Miniature golf does not count. Driving ranges do not count.</t>
  </si>
  <si>
    <t>Museum</t>
  </si>
  <si>
    <t>Vancouver Public Library Branch</t>
  </si>
  <si>
    <t>VPL brand - not a book store or a private book sharing cubby</t>
  </si>
  <si>
    <t>Foreign Consulate</t>
  </si>
  <si>
    <t>Time</t>
  </si>
  <si>
    <t>I just travled (at least) [Distance]. Am I hotter or colder?</t>
  </si>
  <si>
    <t>[Distance]</t>
  </si>
  <si>
    <t>100m</t>
  </si>
  <si>
    <t>Can only be used during the endgame</t>
  </si>
  <si>
    <t>2 transit stops</t>
  </si>
  <si>
    <t>4 transit stops</t>
  </si>
  <si>
    <t>Are you within [Distance] of me?</t>
  </si>
  <si>
    <t>6 transit stops</t>
  </si>
  <si>
    <t>Tentacles (only usable in endgame)</t>
  </si>
  <si>
    <t>150m</t>
  </si>
  <si>
    <t>1km</t>
  </si>
  <si>
    <t>3km</t>
  </si>
  <si>
    <t>Draw 4 Keep 2</t>
  </si>
  <si>
    <t>5km</t>
  </si>
  <si>
    <t>Custom Range</t>
  </si>
  <si>
    <t xml:space="preserve">Of all the [Places] within [Distance] of me, 
which are you closest to? </t>
  </si>
  <si>
    <t>[Places]</t>
  </si>
  <si>
    <t>Parks</t>
  </si>
  <si>
    <t>10 minutes</t>
  </si>
  <si>
    <t>Send a photo of [subject].</t>
  </si>
  <si>
    <t>[Subject]</t>
  </si>
  <si>
    <t>Requirments</t>
  </si>
  <si>
    <t>Churches</t>
  </si>
  <si>
    <t>Banks</t>
  </si>
  <si>
    <t>1.5km</t>
  </si>
  <si>
    <t>A Tree</t>
  </si>
  <si>
    <t>Gas Stations</t>
  </si>
  <si>
    <t>Must include the entire tree</t>
  </si>
  <si>
    <t>Schools</t>
  </si>
  <si>
    <t>The Sky (endgame)</t>
  </si>
  <si>
    <t>Place phone on ground and shoot directly up. No zoom.</t>
  </si>
  <si>
    <t>You (endgame)</t>
  </si>
  <si>
    <t>Selfie mode, arm parallel to the ground, fully extended. No zoom.</t>
  </si>
  <si>
    <t>Directly Away From You (endgame)</t>
  </si>
  <si>
    <t>Parallel to ground, chest height. No zoom.</t>
  </si>
  <si>
    <t>Widest Street</t>
  </si>
  <si>
    <t>Must include both sides of the street</t>
  </si>
  <si>
    <t>A Bike Lane or Sidwalk</t>
  </si>
  <si>
    <r>
      <rPr>
        <sz val="10"/>
        <color theme="1"/>
        <rFont val="Roboto Condensed"/>
      </rPr>
      <t xml:space="preserve">Hiders' discretion for which one:
</t>
    </r>
    <r>
      <rPr>
        <b/>
        <sz val="10"/>
        <color theme="1"/>
        <rFont val="Roboto Condensed"/>
      </rPr>
      <t>Bike Lane</t>
    </r>
    <r>
      <rPr>
        <sz val="10"/>
        <color theme="1"/>
        <rFont val="Roboto Condensed"/>
      </rPr>
      <t xml:space="preserve"> - Image must include entirety of bike lane symbol (or similar symbol) within the lane, and must include the entirety of the curb or other form of protection on both sides of the bike lane. 
</t>
    </r>
    <r>
      <rPr>
        <b/>
        <sz val="10"/>
        <color theme="1"/>
        <rFont val="Roboto Condensed"/>
      </rPr>
      <t>Sidewalk</t>
    </r>
    <r>
      <rPr>
        <sz val="10"/>
        <color theme="1"/>
        <rFont val="Roboto Condensed"/>
      </rPr>
      <t xml:space="preserve"> - must include both sides of the sidewalk, from curb to foot of structure (or other curb)</t>
    </r>
  </si>
  <si>
    <t>Tallest structure
in your sightline (endgame)</t>
  </si>
  <si>
    <t xml:space="preserve">Tallest from your current perspective / sightline.
Must include top and both sides.
The top must be in the top 1/3rd of frame </t>
  </si>
  <si>
    <t>A building 
visible from stop</t>
  </si>
  <si>
    <t>Must stand directly outside transit station entrance (or center hiding zone pin).
If multipole entrance you may choose. 
Must include roof, boths sides,
with the top of the building in the top 1/3rd of frame</t>
  </si>
  <si>
    <t>Two Buildings</t>
  </si>
  <si>
    <t>At least a 5m x 5m section showing 3 distinct elements</t>
  </si>
  <si>
    <t>Restaurant Interior</t>
  </si>
  <si>
    <t>No zoom, must take photo from outside through window (or other opening).</t>
  </si>
  <si>
    <t>Public Art</t>
  </si>
  <si>
    <t>A piece of public art, statue, or graffiti in your hiding zone (entire piece must be in frame and picture must capture at least 2 meter x 2 meter of space).</t>
  </si>
  <si>
    <t>Through a fence/grate/railing</t>
  </si>
  <si>
    <t>Hold the camera right up to a fence, grate, or railing and take a photo of what is on the other side (camera parallel to ground). No zoom.</t>
  </si>
  <si>
    <t>Public Seating</t>
  </si>
  <si>
    <t>a public bench or seating area (must capture top + bottom + both sides from directly in front of seat). Must be taken parallel to ground.</t>
  </si>
  <si>
    <t>Curse of 
The Zoologist</t>
  </si>
  <si>
    <t>Curse of 
The Overflowing Chalice</t>
  </si>
  <si>
    <t>Curse of 
The Mediocre Travel Agent (small)</t>
  </si>
  <si>
    <t>Curse of 
The Jammed Door</t>
  </si>
  <si>
    <t>Curse of 
The Cairn</t>
  </si>
  <si>
    <t>Curse of 
The Bridge Troll</t>
  </si>
  <si>
    <t>Curse of 
The Luxury Car</t>
  </si>
  <si>
    <t>Curse of 
The Urban Explorer</t>
  </si>
  <si>
    <t>Curse of 
The Impressionable Consumer</t>
  </si>
  <si>
    <t>Curse of 
The Distant Cuisine</t>
  </si>
  <si>
    <t>Curse of 
The Bird Guide (small)</t>
  </si>
  <si>
    <t>Curse of 
Spotty Memory</t>
  </si>
  <si>
    <t>Curse of 
The Drained Brain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</si>
</sst>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sz val="10"/>
      <color theme="1"/>
      <name val="Arial"/>
      <family val="2"/>
      <scheme val="minor"/>
    </font>
    <font>
      <b/>
      <sz val="10"/>
      <color theme="1"/>
      <name val="Arial"/>
      <family val="2"/>
      <scheme val="minor"/>
    </font>
    <font>
      <b/>
      <sz val="20"/>
      <color theme="1"/>
      <name val="&quot;Roboto Condensed&quot;"/>
    </font>
    <font>
      <sz val="10"/>
      <color rgb="FF000000"/>
      <name val="Arial"/>
      <family val="2"/>
    </font>
    <font>
      <i/>
      <sz val="10"/>
      <color rgb="FF666666"/>
      <name val="&quot;Roboto Condensed&quot;"/>
    </font>
    <font>
      <b/>
      <sz val="13"/>
      <color rgb="FFFFFFFF"/>
      <name val="&quot;Roboto Condensed&quot;"/>
    </font>
    <font>
      <sz val="11"/>
      <color theme="1"/>
      <name val="&quot;Roboto Condensed&quot;"/>
    </font>
    <font>
      <b/>
      <sz val="11"/>
      <color theme="1"/>
      <name val="&quot;Roboto Condensed&quot;"/>
    </font>
    <font>
      <sz val="10"/>
      <color theme="1"/>
      <name val="Roboto Condensed"/>
    </font>
    <font>
      <i/>
      <sz val="11"/>
      <color theme="1"/>
      <name val="&quot;Roboto Condensed&quot;"/>
    </font>
    <font>
      <sz val="10"/>
      <color theme="1"/>
      <name val="Roboto Mono"/>
    </font>
    <font>
      <b/>
      <sz val="12"/>
      <color rgb="FFFFFFFF"/>
      <name val="Roboto Condensed"/>
    </font>
    <font>
      <sz val="10"/>
      <name val="Arial"/>
      <family val="2"/>
    </font>
    <font>
      <sz val="8"/>
      <color theme="1"/>
      <name val="Roboto Condensed"/>
    </font>
    <font>
      <b/>
      <sz val="10"/>
      <color theme="1"/>
      <name val="Roboto Condensed"/>
    </font>
    <font>
      <b/>
      <sz val="10"/>
      <color theme="1"/>
      <name val="Roboto Mono"/>
    </font>
    <font>
      <i/>
      <sz val="10"/>
      <color theme="1"/>
      <name val="Arial"/>
      <family val="2"/>
      <scheme val="minor"/>
    </font>
    <font>
      <sz val="8"/>
      <color rgb="FF000000"/>
      <name val="Roboto Condensed"/>
    </font>
    <font>
      <sz val="20"/>
      <color theme="1"/>
      <name val="Roboto Condensed"/>
    </font>
    <font>
      <i/>
      <sz val="10"/>
      <color theme="1"/>
      <name val="Roboto Condensed"/>
    </font>
    <font>
      <i/>
      <sz val="10"/>
      <color theme="1"/>
      <name val="Arial"/>
      <family val="2"/>
    </font>
    <font>
      <sz val="10"/>
      <color theme="1"/>
      <name val="Arial"/>
      <family val="2"/>
    </font>
    <font>
      <b/>
      <i/>
      <sz val="11"/>
      <color theme="1"/>
      <name val="&quot;Roboto Condensed&quot;"/>
    </font>
  </fonts>
  <fills count="21">
    <fill>
      <patternFill patternType="none"/>
    </fill>
    <fill>
      <patternFill patternType="gray125"/>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
      <patternFill patternType="solid">
        <fgColor rgb="FFF9CB9C"/>
        <bgColor rgb="FFF9CB9C"/>
      </patternFill>
    </fill>
    <fill>
      <patternFill patternType="solid">
        <fgColor rgb="FFD9D9D9"/>
        <bgColor rgb="FFD9D9D9"/>
      </patternFill>
    </fill>
    <fill>
      <patternFill patternType="solid">
        <fgColor rgb="FFB6D7A8"/>
        <bgColor rgb="FFB6D7A8"/>
      </patternFill>
    </fill>
    <fill>
      <patternFill patternType="solid">
        <fgColor rgb="FF999999"/>
        <bgColor rgb="FF999999"/>
      </patternFill>
    </fill>
    <fill>
      <patternFill patternType="solid">
        <fgColor rgb="FFEA9999"/>
        <bgColor rgb="FFEA9999"/>
      </patternFill>
    </fill>
    <fill>
      <patternFill patternType="solid">
        <fgColor rgb="FF666666"/>
        <bgColor rgb="FF666666"/>
      </patternFill>
    </fill>
    <fill>
      <patternFill patternType="solid">
        <fgColor rgb="FFEFEFEF"/>
        <bgColor rgb="FFEFEFEF"/>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B7B7B7"/>
        <bgColor rgb="FFB7B7B7"/>
      </patternFill>
    </fill>
    <fill>
      <patternFill patternType="solid">
        <fgColor rgb="FF6D9EEB"/>
        <bgColor rgb="FF6D9EEB"/>
      </patternFill>
    </fill>
    <fill>
      <patternFill patternType="solid">
        <fgColor rgb="FFF3F3F3"/>
        <bgColor rgb="FFF3F3F3"/>
      </patternFill>
    </fill>
    <fill>
      <patternFill patternType="solid">
        <fgColor rgb="FFCCCCCC"/>
        <bgColor rgb="FFCCCCCC"/>
      </patternFill>
    </fill>
    <fill>
      <patternFill patternType="solid">
        <fgColor rgb="FF8E7CC3"/>
        <bgColor rgb="FF8E7CC3"/>
      </patternFill>
    </fill>
    <fill>
      <patternFill patternType="solid">
        <fgColor theme="2" tint="-4.9989318521683403E-2"/>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medium">
        <color rgb="FF000000"/>
      </left>
      <right/>
      <top style="medium">
        <color rgb="FF000000"/>
      </top>
      <bottom/>
      <diagonal/>
    </border>
    <border>
      <left/>
      <right/>
      <top style="medium">
        <color rgb="FF000000"/>
      </top>
      <bottom/>
      <diagonal/>
    </border>
    <border>
      <left/>
      <right/>
      <top/>
      <bottom style="thick">
        <color rgb="FF000000"/>
      </bottom>
      <diagonal/>
    </border>
    <border>
      <left/>
      <right style="medium">
        <color rgb="FF000000"/>
      </right>
      <top style="medium">
        <color rgb="FF000000"/>
      </top>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49">
    <xf numFmtId="0" fontId="0" fillId="0" borderId="0" xfId="0"/>
    <xf numFmtId="0" fontId="1" fillId="0" borderId="0" xfId="0" applyFont="1"/>
    <xf numFmtId="0" fontId="2" fillId="2" borderId="1" xfId="0" applyFont="1" applyFill="1" applyBorder="1"/>
    <xf numFmtId="0" fontId="4" fillId="0" borderId="0" xfId="0" applyFont="1"/>
    <xf numFmtId="0" fontId="1" fillId="3" borderId="1" xfId="0" applyFont="1" applyFill="1" applyBorder="1"/>
    <xf numFmtId="0" fontId="7" fillId="0" borderId="0" xfId="0" applyFont="1" applyAlignment="1">
      <alignment vertical="top"/>
    </xf>
    <xf numFmtId="2" fontId="1" fillId="3" borderId="1" xfId="0" applyNumberFormat="1" applyFont="1" applyFill="1" applyBorder="1"/>
    <xf numFmtId="0" fontId="1" fillId="5" borderId="1" xfId="0" applyFont="1" applyFill="1" applyBorder="1"/>
    <xf numFmtId="0" fontId="8" fillId="6" borderId="2" xfId="0" applyFont="1" applyFill="1" applyBorder="1" applyAlignment="1">
      <alignment horizontal="center" vertical="top"/>
    </xf>
    <xf numFmtId="2" fontId="1" fillId="5" borderId="1" xfId="0" applyNumberFormat="1" applyFont="1" applyFill="1" applyBorder="1"/>
    <xf numFmtId="0" fontId="7" fillId="0" borderId="2" xfId="0" applyFont="1" applyBorder="1" applyAlignment="1">
      <alignment vertical="top"/>
    </xf>
    <xf numFmtId="0" fontId="1" fillId="7" borderId="1" xfId="0" applyFont="1" applyFill="1" applyBorder="1"/>
    <xf numFmtId="0" fontId="9" fillId="0" borderId="0" xfId="0" applyFont="1" applyAlignment="1">
      <alignment horizontal="center" vertical="center"/>
    </xf>
    <xf numFmtId="2" fontId="1" fillId="7" borderId="1" xfId="0" applyNumberFormat="1" applyFont="1" applyFill="1" applyBorder="1"/>
    <xf numFmtId="0" fontId="1" fillId="0" borderId="1" xfId="0" applyFont="1" applyBorder="1"/>
    <xf numFmtId="0" fontId="9" fillId="9" borderId="4" xfId="0" applyFont="1" applyFill="1" applyBorder="1" applyAlignment="1">
      <alignment horizontal="left" vertical="center"/>
    </xf>
    <xf numFmtId="0" fontId="11" fillId="9" borderId="4" xfId="0" applyFont="1" applyFill="1" applyBorder="1" applyAlignment="1">
      <alignment horizontal="center" vertical="center"/>
    </xf>
    <xf numFmtId="0" fontId="8" fillId="0" borderId="0" xfId="0" applyFont="1" applyAlignment="1">
      <alignment vertical="top"/>
    </xf>
    <xf numFmtId="0" fontId="1" fillId="0" borderId="1" xfId="0" applyFont="1" applyBorder="1" applyAlignment="1">
      <alignment horizontal="right"/>
    </xf>
    <xf numFmtId="0" fontId="12" fillId="10" borderId="5" xfId="0" applyFont="1" applyFill="1" applyBorder="1" applyAlignment="1">
      <alignment horizontal="center" vertical="center" wrapText="1"/>
    </xf>
    <xf numFmtId="9" fontId="11" fillId="9" borderId="6" xfId="0" applyNumberFormat="1" applyFont="1" applyFill="1" applyBorder="1" applyAlignment="1">
      <alignment horizontal="center" vertical="center"/>
    </xf>
    <xf numFmtId="0" fontId="9" fillId="12" borderId="0" xfId="0" applyFont="1" applyFill="1" applyAlignment="1">
      <alignment horizontal="left" vertical="center"/>
    </xf>
    <xf numFmtId="0" fontId="9" fillId="11" borderId="0" xfId="0" applyFont="1" applyFill="1" applyAlignment="1">
      <alignment horizontal="center" vertical="center"/>
    </xf>
    <xf numFmtId="0" fontId="11" fillId="12" borderId="0" xfId="0" applyFont="1" applyFill="1" applyAlignment="1">
      <alignment horizontal="center" vertical="center"/>
    </xf>
    <xf numFmtId="0" fontId="14" fillId="11" borderId="9" xfId="0" applyFont="1" applyFill="1" applyBorder="1" applyAlignment="1">
      <alignment horizontal="left" vertical="center" wrapText="1"/>
    </xf>
    <xf numFmtId="9" fontId="11" fillId="12" borderId="11" xfId="0" applyNumberFormat="1" applyFont="1" applyFill="1" applyBorder="1" applyAlignment="1">
      <alignment horizontal="center" vertical="center"/>
    </xf>
    <xf numFmtId="0" fontId="9" fillId="11" borderId="12" xfId="0" applyFont="1" applyFill="1" applyBorder="1" applyAlignment="1">
      <alignment horizontal="center" vertical="center"/>
    </xf>
    <xf numFmtId="0" fontId="9" fillId="13" borderId="0" xfId="0" applyFont="1" applyFill="1" applyAlignment="1">
      <alignment horizontal="left" vertical="center"/>
    </xf>
    <xf numFmtId="0" fontId="14" fillId="11" borderId="13" xfId="0" applyFont="1" applyFill="1" applyBorder="1" applyAlignment="1">
      <alignment horizontal="left" vertical="center" wrapText="1"/>
    </xf>
    <xf numFmtId="0" fontId="11" fillId="13" borderId="0" xfId="0" applyFont="1" applyFill="1" applyAlignment="1">
      <alignment horizontal="center" vertical="center"/>
    </xf>
    <xf numFmtId="9" fontId="11" fillId="13" borderId="11" xfId="0" applyNumberFormat="1" applyFont="1" applyFill="1" applyBorder="1" applyAlignment="1">
      <alignment horizontal="center" vertical="center"/>
    </xf>
    <xf numFmtId="0" fontId="9" fillId="14" borderId="0" xfId="0" applyFont="1" applyFill="1" applyAlignment="1">
      <alignment horizontal="left" vertical="center"/>
    </xf>
    <xf numFmtId="0" fontId="11" fillId="14" borderId="0" xfId="0" applyFont="1" applyFill="1" applyAlignment="1">
      <alignment horizontal="center" vertical="center"/>
    </xf>
    <xf numFmtId="0" fontId="14" fillId="15" borderId="16" xfId="0" applyFont="1" applyFill="1" applyBorder="1" applyAlignment="1">
      <alignment horizontal="left" vertical="center" wrapText="1"/>
    </xf>
    <xf numFmtId="9" fontId="11" fillId="14" borderId="11" xfId="0" applyNumberFormat="1" applyFont="1" applyFill="1" applyBorder="1" applyAlignment="1">
      <alignment horizontal="center" vertical="center"/>
    </xf>
    <xf numFmtId="0" fontId="9" fillId="15" borderId="0" xfId="0" applyFont="1" applyFill="1" applyAlignment="1">
      <alignment horizontal="center" vertical="center"/>
    </xf>
    <xf numFmtId="0" fontId="9" fillId="16" borderId="0" xfId="0" applyFont="1" applyFill="1" applyAlignment="1">
      <alignment horizontal="left" vertical="center"/>
    </xf>
    <xf numFmtId="0" fontId="14" fillId="15" borderId="13" xfId="0" applyFont="1" applyFill="1" applyBorder="1" applyAlignment="1">
      <alignment horizontal="left" vertical="center" wrapText="1"/>
    </xf>
    <xf numFmtId="0" fontId="11" fillId="16" borderId="0" xfId="0" applyFont="1" applyFill="1" applyAlignment="1">
      <alignment horizontal="center" vertical="center"/>
    </xf>
    <xf numFmtId="0" fontId="8" fillId="0" borderId="0" xfId="0" applyFont="1"/>
    <xf numFmtId="9" fontId="11" fillId="16" borderId="11" xfId="0" applyNumberFormat="1" applyFont="1" applyFill="1" applyBorder="1" applyAlignment="1">
      <alignment horizontal="center" vertical="center"/>
    </xf>
    <xf numFmtId="1" fontId="1" fillId="5" borderId="1" xfId="0" applyNumberFormat="1" applyFont="1" applyFill="1" applyBorder="1"/>
    <xf numFmtId="0" fontId="15" fillId="18" borderId="18" xfId="0" applyFont="1" applyFill="1" applyBorder="1" applyAlignment="1">
      <alignment horizontal="left" vertical="center"/>
    </xf>
    <xf numFmtId="0" fontId="14" fillId="17" borderId="16" xfId="0" applyFont="1" applyFill="1" applyBorder="1" applyAlignment="1">
      <alignment horizontal="left" vertical="center" wrapText="1"/>
    </xf>
    <xf numFmtId="0" fontId="9" fillId="17" borderId="0" xfId="0" applyFont="1" applyFill="1" applyAlignment="1">
      <alignment horizontal="center" vertical="center"/>
    </xf>
    <xf numFmtId="0" fontId="14" fillId="17" borderId="13" xfId="0" applyFont="1" applyFill="1" applyBorder="1" applyAlignment="1">
      <alignment horizontal="left" vertical="center" wrapText="1"/>
    </xf>
    <xf numFmtId="0" fontId="16" fillId="18" borderId="18" xfId="0" applyFont="1" applyFill="1" applyBorder="1" applyAlignment="1">
      <alignment horizontal="center" vertical="center"/>
    </xf>
    <xf numFmtId="0" fontId="14" fillId="15" borderId="9" xfId="0" applyFont="1" applyFill="1" applyBorder="1" applyAlignment="1">
      <alignment horizontal="left" vertical="center" wrapText="1"/>
    </xf>
    <xf numFmtId="9" fontId="7" fillId="0" borderId="2" xfId="0" applyNumberFormat="1" applyFont="1" applyBorder="1" applyAlignment="1">
      <alignment vertical="top"/>
    </xf>
    <xf numFmtId="9" fontId="16" fillId="18" borderId="19" xfId="0" applyNumberFormat="1" applyFont="1" applyFill="1" applyBorder="1" applyAlignment="1">
      <alignment horizontal="center" vertical="center"/>
    </xf>
    <xf numFmtId="0" fontId="9" fillId="15" borderId="12" xfId="0" applyFont="1" applyFill="1" applyBorder="1" applyAlignment="1">
      <alignment horizontal="center" vertical="center"/>
    </xf>
    <xf numFmtId="2" fontId="1" fillId="0" borderId="1" xfId="0" applyNumberFormat="1" applyFont="1" applyBorder="1"/>
    <xf numFmtId="0" fontId="9" fillId="15" borderId="4" xfId="0" applyFont="1" applyFill="1" applyBorder="1"/>
    <xf numFmtId="0" fontId="14" fillId="11" borderId="16" xfId="0" applyFont="1" applyFill="1" applyBorder="1" applyAlignment="1">
      <alignment horizontal="left" vertical="center" wrapText="1"/>
    </xf>
    <xf numFmtId="0" fontId="11" fillId="15" borderId="4" xfId="0" applyFont="1" applyFill="1" applyBorder="1" applyAlignment="1">
      <alignment horizontal="center" vertical="center"/>
    </xf>
    <xf numFmtId="9" fontId="11" fillId="15" borderId="6" xfId="0" applyNumberFormat="1" applyFont="1" applyFill="1" applyBorder="1" applyAlignment="1">
      <alignment horizontal="center" vertical="center"/>
    </xf>
    <xf numFmtId="2" fontId="1" fillId="0" borderId="0" xfId="0" applyNumberFormat="1" applyFont="1"/>
    <xf numFmtId="0" fontId="1" fillId="0" borderId="0" xfId="0" applyFont="1" applyAlignment="1">
      <alignment wrapText="1"/>
    </xf>
    <xf numFmtId="0" fontId="14" fillId="15" borderId="0" xfId="0" applyFont="1" applyFill="1" applyAlignment="1">
      <alignment horizontal="left" vertical="center" wrapText="1"/>
    </xf>
    <xf numFmtId="0" fontId="9" fillId="6" borderId="0" xfId="0" applyFont="1" applyFill="1"/>
    <xf numFmtId="0" fontId="11" fillId="6" borderId="0" xfId="0" applyFont="1" applyFill="1" applyAlignment="1">
      <alignment horizontal="center" vertical="center"/>
    </xf>
    <xf numFmtId="9" fontId="11" fillId="6" borderId="11" xfId="0" applyNumberFormat="1" applyFont="1" applyFill="1" applyBorder="1" applyAlignment="1">
      <alignment horizontal="center" vertical="center"/>
    </xf>
    <xf numFmtId="0" fontId="9" fillId="17" borderId="12" xfId="0" applyFont="1" applyFill="1" applyBorder="1" applyAlignment="1">
      <alignment horizontal="center" vertical="center"/>
    </xf>
    <xf numFmtId="0" fontId="9" fillId="15" borderId="0" xfId="0" applyFont="1" applyFill="1"/>
    <xf numFmtId="0" fontId="11" fillId="15" borderId="0" xfId="0" applyFont="1" applyFill="1" applyAlignment="1">
      <alignment horizontal="center" vertical="center"/>
    </xf>
    <xf numFmtId="9" fontId="11" fillId="15" borderId="11" xfId="0" applyNumberFormat="1" applyFont="1" applyFill="1" applyBorder="1" applyAlignment="1">
      <alignment horizontal="center" vertical="center"/>
    </xf>
    <xf numFmtId="1" fontId="1" fillId="0" borderId="0" xfId="0" applyNumberFormat="1" applyFont="1"/>
    <xf numFmtId="0" fontId="14" fillId="15" borderId="16" xfId="0" applyFont="1" applyFill="1" applyBorder="1" applyAlignment="1">
      <alignment horizontal="left" vertical="center"/>
    </xf>
    <xf numFmtId="0" fontId="17" fillId="0" borderId="0" xfId="0" applyFont="1"/>
    <xf numFmtId="0" fontId="15" fillId="6" borderId="18" xfId="0" applyFont="1" applyFill="1" applyBorder="1"/>
    <xf numFmtId="1" fontId="2" fillId="2" borderId="1" xfId="0" applyNumberFormat="1" applyFont="1" applyFill="1" applyBorder="1"/>
    <xf numFmtId="0" fontId="16" fillId="6" borderId="18" xfId="0" applyFont="1" applyFill="1" applyBorder="1" applyAlignment="1">
      <alignment horizontal="center" vertical="center"/>
    </xf>
    <xf numFmtId="0" fontId="14" fillId="15" borderId="12" xfId="0" applyFont="1" applyFill="1" applyBorder="1" applyAlignment="1">
      <alignment horizontal="left" vertical="center" wrapText="1"/>
    </xf>
    <xf numFmtId="9" fontId="16" fillId="6" borderId="19" xfId="0" applyNumberFormat="1" applyFont="1" applyFill="1" applyBorder="1" applyAlignment="1">
      <alignment horizontal="center" vertical="center"/>
    </xf>
    <xf numFmtId="0" fontId="14" fillId="17" borderId="0" xfId="0" applyFont="1" applyFill="1" applyAlignment="1">
      <alignment horizontal="left" vertical="center" wrapText="1"/>
    </xf>
    <xf numFmtId="0" fontId="15" fillId="19" borderId="20" xfId="0" applyFont="1" applyFill="1" applyBorder="1"/>
    <xf numFmtId="0" fontId="14" fillId="17" borderId="12" xfId="0" applyFont="1" applyFill="1" applyBorder="1" applyAlignment="1">
      <alignment horizontal="left" vertical="center" wrapText="1"/>
    </xf>
    <xf numFmtId="0" fontId="15" fillId="19" borderId="21" xfId="0" applyFont="1" applyFill="1" applyBorder="1"/>
    <xf numFmtId="0" fontId="16" fillId="19" borderId="21" xfId="0" applyFont="1" applyFill="1" applyBorder="1" applyAlignment="1">
      <alignment horizontal="center" vertical="center"/>
    </xf>
    <xf numFmtId="0" fontId="18" fillId="15" borderId="12" xfId="0" applyFont="1" applyFill="1" applyBorder="1"/>
    <xf numFmtId="9" fontId="16" fillId="19" borderId="22" xfId="0" applyNumberFormat="1" applyFont="1" applyFill="1" applyBorder="1" applyAlignment="1">
      <alignment horizontal="center" vertical="center"/>
    </xf>
    <xf numFmtId="0" fontId="9" fillId="15" borderId="0" xfId="0" applyFont="1" applyFill="1" applyAlignment="1">
      <alignment horizontal="center" vertical="center" wrapText="1"/>
    </xf>
    <xf numFmtId="0" fontId="19" fillId="0" borderId="0" xfId="0" applyFont="1" applyAlignment="1">
      <alignment horizontal="center" vertical="center"/>
    </xf>
    <xf numFmtId="0" fontId="9" fillId="0" borderId="12" xfId="0" applyFont="1" applyBorder="1"/>
    <xf numFmtId="0" fontId="9" fillId="0" borderId="0" xfId="0" applyFont="1"/>
    <xf numFmtId="0" fontId="20" fillId="0" borderId="12" xfId="0" applyFont="1" applyBorder="1"/>
    <xf numFmtId="0" fontId="20" fillId="0" borderId="0" xfId="0" applyFont="1"/>
    <xf numFmtId="0" fontId="9" fillId="7" borderId="1" xfId="0" applyFont="1" applyFill="1" applyBorder="1" applyAlignment="1">
      <alignment vertical="center"/>
    </xf>
    <xf numFmtId="0" fontId="9" fillId="0" borderId="1" xfId="0" applyFont="1" applyBorder="1"/>
    <xf numFmtId="0" fontId="20" fillId="0" borderId="12" xfId="0" applyFont="1" applyBorder="1" applyAlignment="1">
      <alignment wrapText="1"/>
    </xf>
    <xf numFmtId="0" fontId="9" fillId="0" borderId="1" xfId="0" applyFont="1" applyBorder="1" applyAlignment="1">
      <alignment wrapText="1"/>
    </xf>
    <xf numFmtId="0" fontId="9" fillId="0" borderId="0" xfId="0" applyFont="1" applyAlignment="1">
      <alignment wrapText="1"/>
    </xf>
    <xf numFmtId="0" fontId="19" fillId="0" borderId="0" xfId="0" applyFont="1" applyAlignment="1">
      <alignment horizontal="center"/>
    </xf>
    <xf numFmtId="0" fontId="21" fillId="0" borderId="0" xfId="0" applyFont="1"/>
    <xf numFmtId="0" fontId="9" fillId="7" borderId="1" xfId="0" applyFont="1" applyFill="1" applyBorder="1" applyAlignment="1">
      <alignment horizontal="center" vertical="center"/>
    </xf>
    <xf numFmtId="0" fontId="22" fillId="0" borderId="1" xfId="0" applyFont="1" applyBorder="1"/>
    <xf numFmtId="0" fontId="22" fillId="0" borderId="0" xfId="0" applyFont="1"/>
    <xf numFmtId="0" fontId="22" fillId="7" borderId="1" xfId="0" applyFont="1" applyFill="1" applyBorder="1" applyAlignment="1">
      <alignment vertical="center"/>
    </xf>
    <xf numFmtId="0" fontId="22" fillId="0" borderId="1" xfId="0" applyFont="1" applyBorder="1" applyAlignment="1">
      <alignment vertical="center"/>
    </xf>
    <xf numFmtId="0" fontId="22" fillId="0" borderId="0" xfId="0" applyFont="1" applyAlignment="1">
      <alignment vertical="center"/>
    </xf>
    <xf numFmtId="0" fontId="1" fillId="7" borderId="1" xfId="0" applyFont="1" applyFill="1" applyBorder="1" applyAlignment="1">
      <alignment vertical="center"/>
    </xf>
    <xf numFmtId="0" fontId="1" fillId="0" borderId="1" xfId="0" applyFont="1" applyBorder="1" applyAlignment="1">
      <alignment vertical="center"/>
    </xf>
    <xf numFmtId="0" fontId="1" fillId="0" borderId="0" xfId="0" applyFont="1" applyAlignment="1">
      <alignment vertical="center"/>
    </xf>
    <xf numFmtId="0" fontId="20" fillId="0" borderId="0" xfId="0" applyFont="1" applyAlignment="1">
      <alignment wrapText="1"/>
    </xf>
    <xf numFmtId="0" fontId="21" fillId="0" borderId="0" xfId="0" applyFont="1" applyAlignment="1">
      <alignment horizontal="center"/>
    </xf>
    <xf numFmtId="0" fontId="22" fillId="7" borderId="1" xfId="0" applyFont="1" applyFill="1" applyBorder="1" applyAlignment="1">
      <alignment horizontal="center" vertical="center"/>
    </xf>
    <xf numFmtId="0" fontId="20" fillId="18" borderId="0" xfId="0" applyFont="1" applyFill="1" applyAlignment="1">
      <alignment horizontal="center"/>
    </xf>
    <xf numFmtId="0" fontId="9" fillId="7" borderId="1" xfId="0" applyFont="1" applyFill="1" applyBorder="1" applyAlignment="1">
      <alignment horizontal="left" vertical="center"/>
    </xf>
    <xf numFmtId="0" fontId="9" fillId="0" borderId="0" xfId="0" applyFont="1" applyAlignment="1">
      <alignment vertical="center"/>
    </xf>
    <xf numFmtId="0" fontId="9" fillId="0" borderId="1" xfId="0" applyFont="1" applyBorder="1" applyAlignment="1">
      <alignment vertical="center" wrapText="1"/>
    </xf>
    <xf numFmtId="0" fontId="9" fillId="0" borderId="0" xfId="0" applyFont="1" applyAlignment="1">
      <alignment vertical="center" wrapText="1"/>
    </xf>
    <xf numFmtId="0" fontId="9" fillId="0" borderId="0" xfId="0" applyFont="1" applyAlignment="1">
      <alignment horizontal="left" vertical="center"/>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8" fillId="0" borderId="0" xfId="0" applyFont="1"/>
    <xf numFmtId="0" fontId="0" fillId="0" borderId="0" xfId="0"/>
    <xf numFmtId="0" fontId="7" fillId="0" borderId="0" xfId="0" applyFont="1" applyAlignment="1">
      <alignment vertical="top" wrapText="1"/>
    </xf>
    <xf numFmtId="0" fontId="7" fillId="0" borderId="0" xfId="0" applyFont="1" applyAlignment="1">
      <alignment vertical="top"/>
    </xf>
    <xf numFmtId="0" fontId="6" fillId="4" borderId="0" xfId="0" applyFont="1" applyFill="1"/>
    <xf numFmtId="0" fontId="3" fillId="0" borderId="0" xfId="0" applyFont="1"/>
    <xf numFmtId="0" fontId="5" fillId="0" borderId="0" xfId="0" applyFont="1" applyAlignment="1">
      <alignment vertical="top"/>
    </xf>
    <xf numFmtId="0" fontId="10" fillId="0" borderId="0" xfId="0" applyFont="1" applyAlignment="1">
      <alignment vertical="top"/>
    </xf>
    <xf numFmtId="0" fontId="1" fillId="0" borderId="0" xfId="0" applyFont="1" applyAlignment="1">
      <alignment horizontal="center"/>
    </xf>
    <xf numFmtId="0" fontId="9" fillId="8" borderId="3" xfId="0" applyFont="1" applyFill="1" applyBorder="1" applyAlignment="1">
      <alignment horizontal="center" vertical="center" textRotation="90"/>
    </xf>
    <xf numFmtId="0" fontId="13" fillId="0" borderId="7" xfId="0" applyFont="1" applyBorder="1"/>
    <xf numFmtId="0" fontId="13" fillId="0" borderId="17" xfId="0" applyFont="1" applyBorder="1"/>
    <xf numFmtId="0" fontId="1" fillId="0" borderId="0" xfId="0" applyFont="1" applyAlignment="1">
      <alignment vertical="top" wrapText="1"/>
    </xf>
    <xf numFmtId="0" fontId="15" fillId="8" borderId="20" xfId="0" applyFont="1" applyFill="1" applyBorder="1" applyAlignment="1">
      <alignment horizontal="center"/>
    </xf>
    <xf numFmtId="0" fontId="13" fillId="0" borderId="21" xfId="0" applyFont="1" applyBorder="1"/>
    <xf numFmtId="0" fontId="16" fillId="8" borderId="21" xfId="0" applyFont="1" applyFill="1" applyBorder="1" applyAlignment="1">
      <alignment horizontal="center" vertical="center"/>
    </xf>
    <xf numFmtId="0" fontId="13" fillId="0" borderId="22" xfId="0" applyFont="1" applyBorder="1"/>
    <xf numFmtId="0" fontId="12" fillId="10" borderId="5" xfId="0" applyFont="1" applyFill="1" applyBorder="1" applyAlignment="1">
      <alignment horizontal="center" vertical="center"/>
    </xf>
    <xf numFmtId="0" fontId="13" fillId="0" borderId="5" xfId="0" applyFont="1" applyBorder="1"/>
    <xf numFmtId="0" fontId="9" fillId="11" borderId="8" xfId="0" applyFont="1" applyFill="1" applyBorder="1" applyAlignment="1">
      <alignment horizontal="center" vertical="center"/>
    </xf>
    <xf numFmtId="0" fontId="13" fillId="0" borderId="10" xfId="0" applyFont="1" applyBorder="1"/>
    <xf numFmtId="0" fontId="9" fillId="11" borderId="14" xfId="0"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xf>
    <xf numFmtId="0" fontId="9" fillId="0" borderId="12" xfId="0" applyFont="1" applyBorder="1"/>
    <xf numFmtId="0" fontId="13" fillId="0" borderId="12" xfId="0" applyFont="1" applyBorder="1"/>
    <xf numFmtId="0" fontId="9" fillId="0" borderId="12" xfId="0" applyFont="1" applyBorder="1" applyAlignment="1">
      <alignment horizontal="left" vertical="center"/>
    </xf>
    <xf numFmtId="0" fontId="20" fillId="18" borderId="0" xfId="0" applyFont="1" applyFill="1" applyAlignment="1">
      <alignment horizontal="center"/>
    </xf>
    <xf numFmtId="0" fontId="9" fillId="11" borderId="0" xfId="0" applyFont="1" applyFill="1" applyAlignment="1">
      <alignment horizontal="center" vertical="center" wrapText="1"/>
    </xf>
    <xf numFmtId="0" fontId="9" fillId="15" borderId="15" xfId="0" applyFont="1" applyFill="1" applyBorder="1" applyAlignment="1">
      <alignment horizontal="center" vertical="center" wrapText="1"/>
    </xf>
    <xf numFmtId="0" fontId="9" fillId="17" borderId="15" xfId="0" applyFont="1" applyFill="1" applyBorder="1" applyAlignment="1">
      <alignment horizontal="center" vertical="center" wrapText="1"/>
    </xf>
    <xf numFmtId="0" fontId="9" fillId="11" borderId="15" xfId="0" applyFont="1" applyFill="1" applyBorder="1" applyAlignment="1">
      <alignment horizontal="center" vertical="center" wrapText="1"/>
    </xf>
    <xf numFmtId="0" fontId="9" fillId="15" borderId="15" xfId="0" applyFont="1" applyFill="1" applyBorder="1" applyAlignment="1">
      <alignment horizontal="center" wrapText="1"/>
    </xf>
    <xf numFmtId="0" fontId="18" fillId="20" borderId="12" xfId="0" applyFont="1" applyFill="1" applyBorder="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933450</xdr:colOff>
      <xdr:row>2</xdr:row>
      <xdr:rowOff>152400</xdr:rowOff>
    </xdr:from>
    <xdr:ext cx="3629025" cy="3181350"/>
    <xdr:pic>
      <xdr:nvPicPr>
        <xdr:cNvPr id="2" name="image4.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1</xdr:row>
      <xdr:rowOff>66675</xdr:rowOff>
    </xdr:from>
    <xdr:ext cx="3886200" cy="7029450"/>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1323975</xdr:colOff>
      <xdr:row>0</xdr:row>
      <xdr:rowOff>57150</xdr:rowOff>
    </xdr:from>
    <xdr:ext cx="3114675" cy="2600325"/>
    <xdr:pic>
      <xdr:nvPicPr>
        <xdr:cNvPr id="2" name="image2.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409575</xdr:colOff>
      <xdr:row>0</xdr:row>
      <xdr:rowOff>142875</xdr:rowOff>
    </xdr:from>
    <xdr:ext cx="3019425" cy="2724150"/>
    <xdr:pic>
      <xdr:nvPicPr>
        <xdr:cNvPr id="2" name="image5.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476250</xdr:colOff>
      <xdr:row>0</xdr:row>
      <xdr:rowOff>247650</xdr:rowOff>
    </xdr:from>
    <xdr:ext cx="3095625" cy="2800350"/>
    <xdr:pic>
      <xdr:nvPicPr>
        <xdr:cNvPr id="2" name="image3.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outlinePr summaryBelow="0" summaryRight="0"/>
  </sheetPr>
  <dimension ref="A1:L15"/>
  <sheetViews>
    <sheetView workbookViewId="0">
      <selection activeCell="G21" sqref="G21"/>
    </sheetView>
  </sheetViews>
  <sheetFormatPr defaultColWidth="12.5703125" defaultRowHeight="15.75" customHeight="1"/>
  <cols>
    <col min="2" max="2" width="17.140625" customWidth="1"/>
    <col min="3" max="3" width="18" customWidth="1"/>
    <col min="4" max="4" width="14.85546875" customWidth="1"/>
    <col min="6" max="6" width="15" customWidth="1"/>
    <col min="7" max="7" width="20.42578125" customWidth="1"/>
    <col min="8" max="8" width="13.7109375" customWidth="1"/>
    <col min="9" max="9" width="20.42578125" customWidth="1"/>
    <col min="10" max="10" width="16.7109375" customWidth="1"/>
    <col min="11" max="11" width="27.42578125" customWidth="1"/>
    <col min="12" max="12" width="25" customWidth="1"/>
  </cols>
  <sheetData>
    <row r="1" spans="1:12">
      <c r="A1" s="2" t="s">
        <v>0</v>
      </c>
      <c r="B1" s="2" t="s">
        <v>2</v>
      </c>
      <c r="C1" s="2" t="s">
        <v>3</v>
      </c>
      <c r="D1" s="2" t="s">
        <v>4</v>
      </c>
      <c r="E1" s="2" t="s">
        <v>5</v>
      </c>
      <c r="F1" s="2" t="s">
        <v>6</v>
      </c>
      <c r="G1" s="2" t="s">
        <v>7</v>
      </c>
      <c r="H1" s="2" t="s">
        <v>8</v>
      </c>
      <c r="I1" s="2" t="s">
        <v>9</v>
      </c>
      <c r="J1" s="2" t="s">
        <v>10</v>
      </c>
      <c r="K1" s="2" t="s">
        <v>11</v>
      </c>
      <c r="L1" s="2" t="s">
        <v>13</v>
      </c>
    </row>
    <row r="2" spans="1:12">
      <c r="A2" s="4" t="s">
        <v>14</v>
      </c>
      <c r="B2" s="4">
        <v>109</v>
      </c>
      <c r="C2" s="4">
        <v>42</v>
      </c>
      <c r="D2" s="4">
        <v>151</v>
      </c>
      <c r="E2" s="6">
        <f t="shared" ref="E2:E6" si="0">(D2-60)/120*100</f>
        <v>75.833333333333329</v>
      </c>
      <c r="F2" s="7" t="s">
        <v>28</v>
      </c>
      <c r="G2" s="9">
        <f t="shared" ref="G2:G4" si="1">(150-B2)/120*100</f>
        <v>34.166666666666664</v>
      </c>
      <c r="H2" s="11" t="s">
        <v>38</v>
      </c>
      <c r="I2" s="11" t="s">
        <v>42</v>
      </c>
      <c r="J2" s="13">
        <f>G2*95%</f>
        <v>32.458333333333329</v>
      </c>
      <c r="K2" s="14">
        <v>82</v>
      </c>
      <c r="L2" s="14">
        <f>B2-K2</f>
        <v>27</v>
      </c>
    </row>
    <row r="3" spans="1:12">
      <c r="A3" s="11" t="s">
        <v>61</v>
      </c>
      <c r="B3" s="11">
        <v>150</v>
      </c>
      <c r="C3" s="11">
        <v>36</v>
      </c>
      <c r="D3" s="11">
        <f t="shared" ref="D3:D6" si="2">B3+C3</f>
        <v>186</v>
      </c>
      <c r="E3" s="13">
        <f t="shared" si="0"/>
        <v>105</v>
      </c>
      <c r="F3" s="4" t="s">
        <v>14</v>
      </c>
      <c r="G3" s="6">
        <f t="shared" si="1"/>
        <v>0</v>
      </c>
      <c r="H3" s="7" t="s">
        <v>28</v>
      </c>
      <c r="I3" s="7" t="s">
        <v>42</v>
      </c>
      <c r="J3" s="9">
        <v>0</v>
      </c>
      <c r="K3" s="14">
        <v>130</v>
      </c>
      <c r="L3" s="18" t="s">
        <v>71</v>
      </c>
    </row>
    <row r="4" spans="1:12">
      <c r="A4" s="7" t="s">
        <v>28</v>
      </c>
      <c r="B4" s="7">
        <v>113</v>
      </c>
      <c r="C4" s="7">
        <v>42</v>
      </c>
      <c r="D4" s="7">
        <f t="shared" si="2"/>
        <v>155</v>
      </c>
      <c r="E4" s="9">
        <f t="shared" si="0"/>
        <v>79.166666666666657</v>
      </c>
      <c r="F4" s="11" t="s">
        <v>38</v>
      </c>
      <c r="G4" s="13">
        <f t="shared" si="1"/>
        <v>30.833333333333336</v>
      </c>
      <c r="H4" s="4" t="s">
        <v>14</v>
      </c>
      <c r="I4" s="4" t="s">
        <v>42</v>
      </c>
      <c r="J4" s="6">
        <f>G4*95%</f>
        <v>29.291666666666668</v>
      </c>
      <c r="K4" s="14">
        <v>69</v>
      </c>
      <c r="L4" s="14">
        <f t="shared" ref="L4:L6" si="3">B4-K4</f>
        <v>44</v>
      </c>
    </row>
    <row r="5" spans="1:12">
      <c r="A5" s="4" t="s">
        <v>14</v>
      </c>
      <c r="B5" s="4">
        <v>104</v>
      </c>
      <c r="C5" s="4">
        <v>0</v>
      </c>
      <c r="D5" s="4">
        <f t="shared" si="2"/>
        <v>104</v>
      </c>
      <c r="E5" s="6">
        <f t="shared" si="0"/>
        <v>36.666666666666664</v>
      </c>
      <c r="F5" s="11" t="s">
        <v>38</v>
      </c>
      <c r="G5" s="13">
        <f>(150-D5)/120*100</f>
        <v>38.333333333333336</v>
      </c>
      <c r="H5" s="7" t="s">
        <v>28</v>
      </c>
      <c r="I5" s="7" t="s">
        <v>42</v>
      </c>
      <c r="J5" s="9">
        <f>95%*G5</f>
        <v>36.416666666666664</v>
      </c>
      <c r="K5" s="14">
        <v>93</v>
      </c>
      <c r="L5" s="14">
        <f t="shared" si="3"/>
        <v>11</v>
      </c>
    </row>
    <row r="6" spans="1:12">
      <c r="A6" s="7" t="s">
        <v>28</v>
      </c>
      <c r="B6" s="7">
        <v>115</v>
      </c>
      <c r="C6" s="7">
        <v>52</v>
      </c>
      <c r="D6" s="7">
        <f t="shared" si="2"/>
        <v>167</v>
      </c>
      <c r="E6" s="41">
        <f t="shared" si="0"/>
        <v>89.166666666666671</v>
      </c>
      <c r="F6" s="4" t="s">
        <v>14</v>
      </c>
      <c r="G6" s="6">
        <f>(150-B6)/120*100</f>
        <v>29.166666666666668</v>
      </c>
      <c r="H6" s="11" t="s">
        <v>38</v>
      </c>
      <c r="I6" s="11" t="s">
        <v>42</v>
      </c>
      <c r="J6" s="13">
        <f>G6*95%</f>
        <v>27.708333333333332</v>
      </c>
      <c r="K6" s="14">
        <v>27</v>
      </c>
      <c r="L6" s="14">
        <f t="shared" si="3"/>
        <v>88</v>
      </c>
    </row>
    <row r="9" spans="1:12">
      <c r="A9" s="2" t="s">
        <v>118</v>
      </c>
      <c r="B9" s="51">
        <f t="shared" ref="B9:E9" si="4">AVERAGE(B2:B6)</f>
        <v>118.2</v>
      </c>
      <c r="C9" s="51">
        <f t="shared" si="4"/>
        <v>34.4</v>
      </c>
      <c r="D9" s="51">
        <f t="shared" si="4"/>
        <v>152.6</v>
      </c>
      <c r="E9" s="51">
        <f t="shared" si="4"/>
        <v>77.166666666666671</v>
      </c>
      <c r="F9" s="56"/>
      <c r="G9" s="51">
        <f>AVERAGE(G2:G6)</f>
        <v>26.5</v>
      </c>
      <c r="H9" s="56"/>
      <c r="I9" s="56"/>
      <c r="J9" s="51">
        <f t="shared" ref="J9:L9" si="5">AVERAGE(J2:J6)</f>
        <v>25.174999999999997</v>
      </c>
      <c r="K9" s="51">
        <f t="shared" si="5"/>
        <v>80.2</v>
      </c>
      <c r="L9" s="51">
        <f t="shared" si="5"/>
        <v>42.5</v>
      </c>
    </row>
    <row r="10" spans="1:12">
      <c r="B10" s="66"/>
      <c r="C10" s="66"/>
      <c r="D10" s="66"/>
      <c r="E10" s="66"/>
      <c r="F10" s="66"/>
      <c r="G10" s="66"/>
      <c r="H10" s="66"/>
      <c r="I10" s="66"/>
      <c r="J10" s="66"/>
      <c r="K10" s="66"/>
      <c r="L10" s="66"/>
    </row>
    <row r="11" spans="1:12">
      <c r="A11" s="68" t="s">
        <v>172</v>
      </c>
      <c r="B11" s="66"/>
      <c r="C11" s="66"/>
      <c r="D11" s="66"/>
      <c r="E11" s="66"/>
      <c r="F11" s="66"/>
      <c r="G11" s="66"/>
      <c r="H11" s="66"/>
      <c r="I11" s="66"/>
      <c r="J11" s="66"/>
      <c r="K11" s="66"/>
      <c r="L11" s="66"/>
    </row>
    <row r="12" spans="1:12">
      <c r="A12" s="2" t="s">
        <v>179</v>
      </c>
      <c r="B12" s="70" t="s">
        <v>182</v>
      </c>
      <c r="C12" s="70" t="s">
        <v>187</v>
      </c>
      <c r="D12" s="70" t="s">
        <v>188</v>
      </c>
      <c r="E12" s="66"/>
      <c r="F12" s="66"/>
      <c r="G12" s="66"/>
      <c r="H12" s="66"/>
      <c r="I12" s="66"/>
      <c r="J12" s="66"/>
      <c r="K12" s="66"/>
      <c r="L12" s="66"/>
    </row>
    <row r="13" spans="1:12">
      <c r="A13" s="11" t="s">
        <v>38</v>
      </c>
      <c r="B13" s="51">
        <f>_xlfn.MAXIFS($E$2:$E$6, $A$2:$A$6, TRIM(A13)&amp;"*")</f>
        <v>105</v>
      </c>
      <c r="C13" s="51">
        <f>MAX(_xlfn.MAXIFS($G$2:$G$6, $F$2:$F$6,A13),_xlfn.MAXIFS($J$2:$J$6, $H$2:$H$6,A13))</f>
        <v>38.333333333333336</v>
      </c>
      <c r="D13" s="51">
        <f t="shared" ref="D13:D15" si="6">AVERAGE(B13:C13)</f>
        <v>71.666666666666671</v>
      </c>
      <c r="E13" s="66"/>
      <c r="F13" s="66"/>
      <c r="G13" s="66"/>
      <c r="H13" s="66"/>
      <c r="I13" s="66"/>
      <c r="J13" s="66"/>
      <c r="K13" s="66"/>
      <c r="L13" s="66"/>
    </row>
    <row r="14" spans="1:12">
      <c r="A14" s="7" t="s">
        <v>28</v>
      </c>
      <c r="B14" s="51">
        <f t="shared" ref="B14:B15" si="7">_xlfn.MAXIFS($E$2:$E$6, $A$2:$A$6, TRIM(A14)&amp;"*")</f>
        <v>89.166666666666671</v>
      </c>
      <c r="C14" s="51">
        <f>MAX(_xlfn.MAXIFS($G$2:$G$6, $F$2:$F$6,A14),_xlfn.MAXIFS($J$2:$J$6, $H$2:$H$6,A14))</f>
        <v>36.416666666666664</v>
      </c>
      <c r="D14" s="51">
        <f t="shared" si="6"/>
        <v>62.791666666666671</v>
      </c>
      <c r="E14" s="66"/>
      <c r="F14" s="66"/>
      <c r="G14" s="66"/>
      <c r="H14" s="66"/>
      <c r="I14" s="66"/>
      <c r="J14" s="66"/>
      <c r="K14" s="66"/>
      <c r="L14" s="66"/>
    </row>
    <row r="15" spans="1:12">
      <c r="A15" s="4" t="s">
        <v>14</v>
      </c>
      <c r="B15" s="51">
        <f t="shared" si="7"/>
        <v>75.833333333333329</v>
      </c>
      <c r="C15" s="51">
        <f>MAX(_xlfn.MAXIFS($G$2:$G$6, $F$2:$F$6,A15),_xlfn.MAXIFS($J$2:$J$6, $H$2:$H$6,A15))</f>
        <v>29.291666666666668</v>
      </c>
      <c r="D15" s="51">
        <f t="shared" si="6"/>
        <v>52.5625</v>
      </c>
      <c r="E15" s="66"/>
      <c r="F15" s="66"/>
      <c r="G15" s="66"/>
      <c r="H15" s="66"/>
      <c r="I15" s="66"/>
      <c r="J15" s="66"/>
      <c r="K15" s="66"/>
      <c r="L15" s="6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F114"/>
  <sheetViews>
    <sheetView workbookViewId="0">
      <selection activeCell="A104" sqref="A104:F104"/>
    </sheetView>
  </sheetViews>
  <sheetFormatPr defaultColWidth="12.5703125" defaultRowHeight="15.75" customHeight="1"/>
  <cols>
    <col min="1" max="1" width="48.42578125" customWidth="1"/>
    <col min="2" max="2" width="25" customWidth="1"/>
    <col min="3" max="3" width="26.28515625" customWidth="1"/>
    <col min="4" max="4" width="78" customWidth="1"/>
    <col min="5" max="5" width="17.140625" customWidth="1"/>
    <col min="6" max="6" width="192.5703125" customWidth="1"/>
  </cols>
  <sheetData>
    <row r="1" spans="1:6" ht="26.25">
      <c r="A1" s="119" t="s">
        <v>1</v>
      </c>
      <c r="B1" s="115"/>
      <c r="C1" s="115"/>
      <c r="D1" s="3"/>
      <c r="E1" s="3"/>
      <c r="F1" s="3"/>
    </row>
    <row r="2" spans="1:6">
      <c r="A2" s="3"/>
      <c r="B2" s="3"/>
      <c r="C2" s="3"/>
      <c r="D2" s="3"/>
      <c r="E2" s="3"/>
      <c r="F2" s="3"/>
    </row>
    <row r="3" spans="1:6">
      <c r="A3" s="120" t="s">
        <v>12</v>
      </c>
      <c r="B3" s="115"/>
      <c r="C3" s="115"/>
      <c r="D3" s="115"/>
      <c r="E3" s="115"/>
      <c r="F3" s="115"/>
    </row>
    <row r="4" spans="1:6">
      <c r="A4" s="3"/>
      <c r="B4" s="3"/>
      <c r="C4" s="3"/>
      <c r="D4" s="3"/>
      <c r="E4" s="3"/>
      <c r="F4" s="3"/>
    </row>
    <row r="5" spans="1:6" ht="15.75" customHeight="1">
      <c r="A5" s="118" t="s">
        <v>15</v>
      </c>
      <c r="B5" s="115"/>
      <c r="C5" s="115"/>
      <c r="D5" s="115"/>
      <c r="E5" s="115"/>
      <c r="F5" s="115"/>
    </row>
    <row r="6" spans="1:6">
      <c r="A6" s="117" t="s">
        <v>16</v>
      </c>
      <c r="B6" s="115"/>
      <c r="C6" s="115"/>
      <c r="D6" s="115"/>
      <c r="E6" s="115"/>
      <c r="F6" s="115"/>
    </row>
    <row r="7" spans="1:6">
      <c r="A7" s="117" t="s">
        <v>17</v>
      </c>
      <c r="B7" s="115"/>
      <c r="C7" s="115"/>
      <c r="D7" s="115"/>
      <c r="E7" s="115"/>
      <c r="F7" s="115"/>
    </row>
    <row r="8" spans="1:6">
      <c r="A8" s="117" t="s">
        <v>18</v>
      </c>
      <c r="B8" s="115"/>
      <c r="C8" s="115"/>
      <c r="D8" s="115"/>
      <c r="E8" s="115"/>
      <c r="F8" s="115"/>
    </row>
    <row r="9" spans="1:6">
      <c r="A9" s="117" t="s">
        <v>19</v>
      </c>
      <c r="B9" s="115"/>
      <c r="C9" s="115"/>
      <c r="D9" s="115"/>
      <c r="E9" s="115"/>
      <c r="F9" s="115"/>
    </row>
    <row r="10" spans="1:6">
      <c r="A10" s="117" t="s">
        <v>20</v>
      </c>
      <c r="B10" s="115"/>
      <c r="C10" s="115"/>
      <c r="D10" s="115"/>
      <c r="E10" s="115"/>
      <c r="F10" s="115"/>
    </row>
    <row r="11" spans="1:6">
      <c r="A11" s="117" t="s">
        <v>21</v>
      </c>
      <c r="B11" s="115"/>
      <c r="C11" s="115"/>
      <c r="D11" s="115"/>
      <c r="E11" s="115"/>
      <c r="F11" s="115"/>
    </row>
    <row r="12" spans="1:6">
      <c r="A12" s="3"/>
      <c r="B12" s="3"/>
      <c r="C12" s="3"/>
      <c r="D12" s="3"/>
      <c r="E12" s="3"/>
      <c r="F12" s="3"/>
    </row>
    <row r="13" spans="1:6" ht="15.75" customHeight="1">
      <c r="A13" s="118" t="s">
        <v>22</v>
      </c>
      <c r="B13" s="115"/>
      <c r="C13" s="115"/>
      <c r="D13" s="115"/>
      <c r="E13" s="115"/>
      <c r="F13" s="115"/>
    </row>
    <row r="14" spans="1:6">
      <c r="A14" s="117" t="s">
        <v>23</v>
      </c>
      <c r="B14" s="115"/>
      <c r="C14" s="115"/>
      <c r="D14" s="115"/>
      <c r="E14" s="115"/>
      <c r="F14" s="115"/>
    </row>
    <row r="15" spans="1:6">
      <c r="A15" s="117" t="s">
        <v>24</v>
      </c>
      <c r="B15" s="115"/>
      <c r="C15" s="115"/>
      <c r="D15" s="115"/>
      <c r="E15" s="115"/>
      <c r="F15" s="115"/>
    </row>
    <row r="16" spans="1:6">
      <c r="A16" s="117" t="s">
        <v>25</v>
      </c>
      <c r="B16" s="115"/>
      <c r="C16" s="115"/>
      <c r="D16" s="115"/>
      <c r="E16" s="115"/>
      <c r="F16" s="115"/>
    </row>
    <row r="17" spans="1:6">
      <c r="A17" s="117" t="s">
        <v>26</v>
      </c>
      <c r="B17" s="115"/>
      <c r="C17" s="115"/>
      <c r="D17" s="115"/>
      <c r="E17" s="115"/>
      <c r="F17" s="115"/>
    </row>
    <row r="18" spans="1:6">
      <c r="A18" s="117" t="s">
        <v>27</v>
      </c>
      <c r="B18" s="115"/>
      <c r="C18" s="115"/>
      <c r="D18" s="115"/>
      <c r="E18" s="115"/>
      <c r="F18" s="115"/>
    </row>
    <row r="19" spans="1:6">
      <c r="A19" s="3"/>
      <c r="B19" s="3"/>
      <c r="C19" s="3"/>
      <c r="D19" s="3"/>
      <c r="E19" s="3"/>
      <c r="F19" s="3"/>
    </row>
    <row r="20" spans="1:6" ht="15.75" customHeight="1">
      <c r="A20" s="118" t="s">
        <v>29</v>
      </c>
      <c r="B20" s="115"/>
      <c r="C20" s="115"/>
      <c r="D20" s="115"/>
      <c r="E20" s="115"/>
      <c r="F20" s="115"/>
    </row>
    <row r="21" spans="1:6">
      <c r="A21" s="117" t="s">
        <v>30</v>
      </c>
      <c r="B21" s="115"/>
      <c r="C21" s="115"/>
      <c r="D21" s="115"/>
      <c r="E21" s="115"/>
      <c r="F21" s="115"/>
    </row>
    <row r="22" spans="1:6">
      <c r="A22" s="117" t="s">
        <v>31</v>
      </c>
      <c r="B22" s="115"/>
      <c r="C22" s="115"/>
      <c r="D22" s="115"/>
      <c r="E22" s="115"/>
      <c r="F22" s="115"/>
    </row>
    <row r="23" spans="1:6">
      <c r="A23" s="3"/>
      <c r="B23" s="3"/>
      <c r="C23" s="3"/>
      <c r="D23" s="3"/>
      <c r="E23" s="3"/>
      <c r="F23" s="3"/>
    </row>
    <row r="24" spans="1:6" ht="15.75" customHeight="1">
      <c r="A24" s="118" t="s">
        <v>32</v>
      </c>
      <c r="B24" s="115"/>
      <c r="C24" s="115"/>
      <c r="D24" s="115"/>
      <c r="E24" s="115"/>
      <c r="F24" s="115"/>
    </row>
    <row r="25" spans="1:6">
      <c r="A25" s="8" t="s">
        <v>33</v>
      </c>
      <c r="B25" s="8" t="s">
        <v>34</v>
      </c>
      <c r="C25" s="8" t="s">
        <v>35</v>
      </c>
      <c r="D25" s="8" t="s">
        <v>36</v>
      </c>
      <c r="E25" s="3"/>
      <c r="F25" s="3"/>
    </row>
    <row r="26" spans="1:6">
      <c r="A26" s="10" t="s">
        <v>37</v>
      </c>
      <c r="B26" s="10" t="s">
        <v>39</v>
      </c>
      <c r="C26" s="10" t="s">
        <v>40</v>
      </c>
      <c r="D26" s="10"/>
      <c r="E26" s="3"/>
      <c r="F26" s="3"/>
    </row>
    <row r="27" spans="1:6">
      <c r="A27" s="10" t="s">
        <v>43</v>
      </c>
      <c r="B27" s="10" t="s">
        <v>39</v>
      </c>
      <c r="C27" s="10" t="s">
        <v>40</v>
      </c>
      <c r="D27" s="10"/>
      <c r="E27" s="3"/>
      <c r="F27" s="3"/>
    </row>
    <row r="28" spans="1:6">
      <c r="A28" s="10" t="s">
        <v>44</v>
      </c>
      <c r="B28" s="10" t="s">
        <v>39</v>
      </c>
      <c r="C28" s="10" t="s">
        <v>40</v>
      </c>
      <c r="D28" s="10"/>
      <c r="E28" s="3"/>
      <c r="F28" s="3"/>
    </row>
    <row r="29" spans="1:6">
      <c r="A29" s="10" t="s">
        <v>45</v>
      </c>
      <c r="B29" s="10" t="s">
        <v>46</v>
      </c>
      <c r="C29" s="10" t="s">
        <v>40</v>
      </c>
      <c r="D29" s="10"/>
      <c r="E29" s="3"/>
      <c r="F29" s="3"/>
    </row>
    <row r="30" spans="1:6">
      <c r="A30" s="10" t="s">
        <v>48</v>
      </c>
      <c r="B30" s="10" t="s">
        <v>50</v>
      </c>
      <c r="C30" s="10" t="s">
        <v>40</v>
      </c>
      <c r="D30" s="10" t="s">
        <v>51</v>
      </c>
      <c r="E30" s="3"/>
      <c r="F30" s="3"/>
    </row>
    <row r="31" spans="1:6">
      <c r="A31" s="10" t="s">
        <v>52</v>
      </c>
      <c r="B31" s="10" t="s">
        <v>53</v>
      </c>
      <c r="C31" s="10" t="s">
        <v>54</v>
      </c>
      <c r="D31" s="10" t="s">
        <v>55</v>
      </c>
      <c r="E31" s="3"/>
      <c r="F31" s="3"/>
    </row>
    <row r="32" spans="1:6">
      <c r="A32" s="3"/>
      <c r="B32" s="3"/>
      <c r="C32" s="3"/>
      <c r="D32" s="3"/>
      <c r="E32" s="3"/>
      <c r="F32" s="3"/>
    </row>
    <row r="33" spans="1:6">
      <c r="A33" s="117" t="s">
        <v>56</v>
      </c>
      <c r="B33" s="115"/>
      <c r="C33" s="115"/>
      <c r="D33" s="115"/>
      <c r="E33" s="115"/>
      <c r="F33" s="115"/>
    </row>
    <row r="34" spans="1:6">
      <c r="A34" s="3"/>
      <c r="B34" s="3"/>
      <c r="C34" s="3"/>
      <c r="D34" s="3"/>
      <c r="E34" s="3"/>
      <c r="F34" s="3"/>
    </row>
    <row r="35" spans="1:6" ht="15.75" customHeight="1">
      <c r="A35" s="118" t="s">
        <v>58</v>
      </c>
      <c r="B35" s="115"/>
      <c r="C35" s="115"/>
      <c r="D35" s="115"/>
      <c r="E35" s="115"/>
      <c r="F35" s="115"/>
    </row>
    <row r="36" spans="1:6">
      <c r="A36" s="121" t="s">
        <v>59</v>
      </c>
      <c r="B36" s="115"/>
      <c r="C36" s="115"/>
      <c r="D36" s="115"/>
      <c r="E36" s="115"/>
      <c r="F36" s="115"/>
    </row>
    <row r="37" spans="1:6">
      <c r="A37" s="117" t="s">
        <v>60</v>
      </c>
      <c r="B37" s="115"/>
      <c r="C37" s="115"/>
      <c r="D37" s="115"/>
      <c r="E37" s="115"/>
      <c r="F37" s="115"/>
    </row>
    <row r="38" spans="1:6">
      <c r="A38" s="117" t="s">
        <v>62</v>
      </c>
      <c r="B38" s="115"/>
      <c r="C38" s="115"/>
      <c r="D38" s="115"/>
      <c r="E38" s="115"/>
      <c r="F38" s="115"/>
    </row>
    <row r="39" spans="1:6">
      <c r="A39" s="117" t="s">
        <v>63</v>
      </c>
      <c r="B39" s="115"/>
      <c r="C39" s="115"/>
      <c r="D39" s="115"/>
      <c r="E39" s="115"/>
      <c r="F39" s="115"/>
    </row>
    <row r="40" spans="1:6">
      <c r="A40" s="117" t="s">
        <v>65</v>
      </c>
      <c r="B40" s="115"/>
      <c r="C40" s="115"/>
      <c r="D40" s="115"/>
      <c r="E40" s="115"/>
      <c r="F40" s="115"/>
    </row>
    <row r="41" spans="1:6">
      <c r="A41" s="117" t="s">
        <v>66</v>
      </c>
      <c r="B41" s="115"/>
      <c r="C41" s="115"/>
      <c r="D41" s="115"/>
      <c r="E41" s="115"/>
      <c r="F41" s="115"/>
    </row>
    <row r="42" spans="1:6">
      <c r="A42" s="117" t="s">
        <v>67</v>
      </c>
      <c r="B42" s="115"/>
      <c r="C42" s="115"/>
      <c r="D42" s="115"/>
      <c r="E42" s="115"/>
      <c r="F42" s="115"/>
    </row>
    <row r="43" spans="1:6">
      <c r="A43" s="3"/>
      <c r="B43" s="3"/>
      <c r="C43" s="3"/>
      <c r="D43" s="3"/>
      <c r="E43" s="3"/>
      <c r="F43" s="3"/>
    </row>
    <row r="44" spans="1:6" ht="15.75" customHeight="1">
      <c r="A44" s="118" t="s">
        <v>68</v>
      </c>
      <c r="B44" s="115"/>
      <c r="C44" s="115"/>
      <c r="D44" s="115"/>
      <c r="E44" s="115"/>
      <c r="F44" s="115"/>
    </row>
    <row r="45" spans="1:6">
      <c r="A45" s="121" t="s">
        <v>59</v>
      </c>
      <c r="B45" s="115"/>
      <c r="C45" s="115"/>
      <c r="D45" s="115"/>
      <c r="E45" s="115"/>
      <c r="F45" s="115"/>
    </row>
    <row r="46" spans="1:6">
      <c r="A46" s="17" t="s">
        <v>70</v>
      </c>
      <c r="B46" s="5"/>
      <c r="C46" s="5"/>
      <c r="D46" s="5"/>
      <c r="E46" s="5"/>
      <c r="F46" s="5"/>
    </row>
    <row r="47" spans="1:6">
      <c r="A47" s="117" t="s">
        <v>72</v>
      </c>
      <c r="B47" s="115"/>
      <c r="C47" s="115"/>
      <c r="D47" s="115"/>
      <c r="E47" s="115"/>
      <c r="F47" s="115"/>
    </row>
    <row r="48" spans="1:6" ht="14.25">
      <c r="A48" s="117" t="s">
        <v>73</v>
      </c>
      <c r="B48" s="115"/>
      <c r="C48" s="115"/>
      <c r="D48" s="115"/>
      <c r="E48" s="115"/>
      <c r="F48" s="115"/>
    </row>
    <row r="49" spans="1:6" ht="14.25">
      <c r="A49" s="117" t="s">
        <v>74</v>
      </c>
      <c r="B49" s="115"/>
      <c r="C49" s="115"/>
      <c r="D49" s="115"/>
      <c r="E49" s="115"/>
      <c r="F49" s="115"/>
    </row>
    <row r="50" spans="1:6" ht="14.25">
      <c r="A50" s="117" t="s">
        <v>75</v>
      </c>
      <c r="B50" s="115"/>
      <c r="C50" s="115"/>
      <c r="D50" s="115"/>
      <c r="E50" s="115"/>
      <c r="F50" s="115"/>
    </row>
    <row r="51" spans="1:6" ht="14.25">
      <c r="A51" s="117" t="s">
        <v>79</v>
      </c>
      <c r="B51" s="115"/>
      <c r="C51" s="115"/>
      <c r="D51" s="115"/>
      <c r="E51" s="115"/>
      <c r="F51" s="115"/>
    </row>
    <row r="52" spans="1:6" ht="14.25">
      <c r="A52" s="117" t="s">
        <v>80</v>
      </c>
      <c r="B52" s="115"/>
      <c r="C52" s="115"/>
      <c r="D52" s="115"/>
      <c r="E52" s="115"/>
      <c r="F52" s="115"/>
    </row>
    <row r="53" spans="1:6" ht="14.25">
      <c r="A53" s="117" t="s">
        <v>81</v>
      </c>
      <c r="B53" s="115"/>
      <c r="C53" s="115"/>
      <c r="D53" s="115"/>
      <c r="E53" s="115"/>
      <c r="F53" s="115"/>
    </row>
    <row r="54" spans="1:6" ht="14.25">
      <c r="A54" s="117" t="s">
        <v>82</v>
      </c>
      <c r="B54" s="115"/>
      <c r="C54" s="115"/>
      <c r="D54" s="115"/>
      <c r="E54" s="115"/>
      <c r="F54" s="115"/>
    </row>
    <row r="55" spans="1:6" ht="14.25">
      <c r="A55" s="117" t="s">
        <v>84</v>
      </c>
      <c r="B55" s="115"/>
      <c r="C55" s="115"/>
      <c r="D55" s="115"/>
      <c r="E55" s="115"/>
      <c r="F55" s="115"/>
    </row>
    <row r="56" spans="1:6" ht="14.25">
      <c r="A56" s="117" t="s">
        <v>85</v>
      </c>
      <c r="B56" s="115"/>
      <c r="C56" s="115"/>
      <c r="D56" s="115"/>
      <c r="E56" s="115"/>
      <c r="F56" s="115"/>
    </row>
    <row r="57" spans="1:6" ht="14.25">
      <c r="A57" s="117" t="s">
        <v>87</v>
      </c>
      <c r="B57" s="115"/>
      <c r="C57" s="115"/>
      <c r="D57" s="115"/>
      <c r="E57" s="115"/>
      <c r="F57" s="115"/>
    </row>
    <row r="58" spans="1:6" ht="14.25">
      <c r="A58" s="117" t="s">
        <v>88</v>
      </c>
      <c r="B58" s="115"/>
      <c r="C58" s="115"/>
      <c r="D58" s="115"/>
      <c r="E58" s="115"/>
      <c r="F58" s="115"/>
    </row>
    <row r="59" spans="1:6" ht="14.25">
      <c r="A59" s="117" t="s">
        <v>91</v>
      </c>
      <c r="B59" s="115"/>
      <c r="C59" s="115"/>
      <c r="D59" s="115"/>
      <c r="E59" s="115"/>
      <c r="F59" s="115"/>
    </row>
    <row r="60" spans="1:6" ht="14.25">
      <c r="A60" s="117" t="s">
        <v>92</v>
      </c>
      <c r="B60" s="115"/>
      <c r="C60" s="115"/>
      <c r="D60" s="115"/>
      <c r="E60" s="115"/>
      <c r="F60" s="115"/>
    </row>
    <row r="61" spans="1:6" ht="14.25">
      <c r="A61" s="117" t="s">
        <v>93</v>
      </c>
      <c r="B61" s="115"/>
      <c r="C61" s="115"/>
      <c r="D61" s="115"/>
      <c r="E61" s="115"/>
      <c r="F61" s="115"/>
    </row>
    <row r="62" spans="1:6" ht="14.25">
      <c r="A62" s="117" t="s">
        <v>94</v>
      </c>
      <c r="B62" s="115"/>
      <c r="C62" s="115"/>
      <c r="D62" s="115"/>
      <c r="E62" s="115"/>
      <c r="F62" s="115"/>
    </row>
    <row r="63" spans="1:6" ht="14.25">
      <c r="A63" s="117" t="s">
        <v>95</v>
      </c>
      <c r="B63" s="115"/>
      <c r="C63" s="115"/>
      <c r="D63" s="115"/>
      <c r="E63" s="115"/>
      <c r="F63" s="115"/>
    </row>
    <row r="64" spans="1:6" ht="14.25">
      <c r="A64" s="117" t="s">
        <v>97</v>
      </c>
      <c r="B64" s="115"/>
      <c r="C64" s="115"/>
      <c r="D64" s="115"/>
      <c r="E64" s="115"/>
      <c r="F64" s="115"/>
    </row>
    <row r="65" spans="1:6" ht="14.25">
      <c r="A65" s="117" t="s">
        <v>98</v>
      </c>
      <c r="B65" s="115"/>
      <c r="C65" s="115"/>
      <c r="D65" s="115"/>
      <c r="E65" s="115"/>
      <c r="F65" s="115"/>
    </row>
    <row r="66" spans="1:6" ht="12.75">
      <c r="A66" s="116" t="s">
        <v>99</v>
      </c>
      <c r="B66" s="115"/>
      <c r="C66" s="115"/>
      <c r="D66" s="115"/>
      <c r="E66" s="115"/>
      <c r="F66" s="115"/>
    </row>
    <row r="67" spans="1:6" ht="14.25">
      <c r="A67" s="117" t="s">
        <v>101</v>
      </c>
      <c r="B67" s="115"/>
      <c r="C67" s="115"/>
      <c r="D67" s="115"/>
      <c r="E67" s="115"/>
      <c r="F67" s="115"/>
    </row>
    <row r="68" spans="1:6" ht="14.25">
      <c r="A68" s="117" t="s">
        <v>102</v>
      </c>
      <c r="B68" s="115"/>
      <c r="C68" s="115"/>
      <c r="D68" s="115"/>
      <c r="E68" s="115"/>
      <c r="F68" s="115"/>
    </row>
    <row r="69" spans="1:6" ht="12.75">
      <c r="A69" s="3"/>
      <c r="B69" s="3"/>
      <c r="C69" s="3"/>
      <c r="D69" s="3"/>
      <c r="E69" s="3"/>
      <c r="F69" s="3"/>
    </row>
    <row r="70" spans="1:6" ht="16.5">
      <c r="A70" s="118" t="s">
        <v>105</v>
      </c>
      <c r="B70" s="115"/>
      <c r="C70" s="115"/>
      <c r="D70" s="115"/>
      <c r="E70" s="115"/>
      <c r="F70" s="115"/>
    </row>
    <row r="71" spans="1:6" ht="15">
      <c r="A71" s="39" t="s">
        <v>106</v>
      </c>
      <c r="B71" s="3"/>
      <c r="C71" s="3"/>
      <c r="D71" s="3"/>
      <c r="E71" s="3"/>
      <c r="F71" s="3"/>
    </row>
    <row r="72" spans="1:6" ht="14.25">
      <c r="A72" s="117" t="s">
        <v>107</v>
      </c>
      <c r="B72" s="115"/>
      <c r="C72" s="115"/>
      <c r="D72" s="115"/>
      <c r="E72" s="115"/>
      <c r="F72" s="115"/>
    </row>
    <row r="73" spans="1:6" ht="14.25">
      <c r="A73" s="117" t="s">
        <v>108</v>
      </c>
      <c r="B73" s="115"/>
      <c r="C73" s="115"/>
      <c r="D73" s="115"/>
      <c r="E73" s="115"/>
      <c r="F73" s="115"/>
    </row>
    <row r="74" spans="1:6" ht="12.75">
      <c r="A74" s="3"/>
      <c r="B74" s="3"/>
      <c r="C74" s="3"/>
      <c r="D74" s="3"/>
      <c r="E74" s="3"/>
      <c r="F74" s="3"/>
    </row>
    <row r="75" spans="1:6" ht="15">
      <c r="A75" s="114" t="s">
        <v>110</v>
      </c>
      <c r="B75" s="115"/>
      <c r="C75" s="3"/>
      <c r="D75" s="3"/>
      <c r="E75" s="3"/>
      <c r="F75" s="3"/>
    </row>
    <row r="76" spans="1:6" ht="14.25">
      <c r="A76" s="117" t="s">
        <v>111</v>
      </c>
      <c r="B76" s="115"/>
      <c r="C76" s="115"/>
      <c r="D76" s="115"/>
      <c r="E76" s="115"/>
      <c r="F76" s="115"/>
    </row>
    <row r="77" spans="1:6" ht="12.75">
      <c r="A77" s="3"/>
      <c r="B77" s="3"/>
      <c r="C77" s="3"/>
      <c r="D77" s="3"/>
      <c r="E77" s="3"/>
      <c r="F77" s="3"/>
    </row>
    <row r="78" spans="1:6" ht="15">
      <c r="A78" s="114" t="s">
        <v>112</v>
      </c>
      <c r="B78" s="115"/>
      <c r="C78" s="115"/>
      <c r="D78" s="3"/>
      <c r="E78" s="3"/>
      <c r="F78" s="3"/>
    </row>
    <row r="79" spans="1:6" ht="14.25">
      <c r="A79" s="117" t="s">
        <v>113</v>
      </c>
      <c r="B79" s="115"/>
      <c r="C79" s="115"/>
      <c r="D79" s="115"/>
      <c r="E79" s="115"/>
      <c r="F79" s="115"/>
    </row>
    <row r="80" spans="1:6" ht="15">
      <c r="A80" s="8" t="s">
        <v>114</v>
      </c>
      <c r="B80" s="8" t="s">
        <v>115</v>
      </c>
      <c r="C80" s="3"/>
      <c r="D80" s="3"/>
      <c r="E80" s="3"/>
      <c r="F80" s="3"/>
    </row>
    <row r="81" spans="1:6" ht="14.25">
      <c r="A81" s="10" t="s">
        <v>116</v>
      </c>
      <c r="B81" s="48">
        <v>0.95</v>
      </c>
      <c r="C81" s="3"/>
      <c r="D81" s="3"/>
      <c r="E81" s="3"/>
      <c r="F81" s="3"/>
    </row>
    <row r="82" spans="1:6" ht="14.25">
      <c r="A82" s="10" t="s">
        <v>119</v>
      </c>
      <c r="B82" s="48">
        <v>0.9</v>
      </c>
      <c r="C82" s="3"/>
      <c r="D82" s="3"/>
      <c r="E82" s="3"/>
      <c r="F82" s="3"/>
    </row>
    <row r="83" spans="1:6" ht="14.25">
      <c r="A83" s="10" t="s">
        <v>122</v>
      </c>
      <c r="B83" s="48">
        <v>0.85</v>
      </c>
      <c r="C83" s="3"/>
      <c r="D83" s="3"/>
      <c r="E83" s="3"/>
      <c r="F83" s="3"/>
    </row>
    <row r="84" spans="1:6" ht="14.25">
      <c r="A84" s="10" t="s">
        <v>123</v>
      </c>
      <c r="B84" s="48">
        <v>0.8</v>
      </c>
      <c r="C84" s="3"/>
      <c r="D84" s="3"/>
      <c r="E84" s="3"/>
      <c r="F84" s="3"/>
    </row>
    <row r="85" spans="1:6" ht="14.25">
      <c r="A85" s="10" t="s">
        <v>125</v>
      </c>
      <c r="B85" s="48">
        <v>0.75</v>
      </c>
      <c r="C85" s="3"/>
      <c r="D85" s="3"/>
      <c r="E85" s="3"/>
      <c r="F85" s="3"/>
    </row>
    <row r="86" spans="1:6" ht="14.25">
      <c r="A86" s="10" t="s">
        <v>127</v>
      </c>
      <c r="B86" s="10"/>
      <c r="C86" s="3"/>
      <c r="D86" s="3"/>
      <c r="E86" s="3"/>
      <c r="F86" s="3"/>
    </row>
    <row r="87" spans="1:6" ht="14.25">
      <c r="A87" s="10" t="s">
        <v>128</v>
      </c>
      <c r="B87" s="48">
        <v>0</v>
      </c>
      <c r="C87" s="3"/>
      <c r="D87" s="3"/>
      <c r="E87" s="3"/>
      <c r="F87" s="3"/>
    </row>
    <row r="88" spans="1:6" ht="12.75">
      <c r="A88" s="3"/>
      <c r="B88" s="3"/>
      <c r="C88" s="3"/>
      <c r="D88" s="3"/>
      <c r="E88" s="3"/>
      <c r="F88" s="3"/>
    </row>
    <row r="89" spans="1:6" ht="14.25">
      <c r="A89" s="117" t="s">
        <v>131</v>
      </c>
      <c r="B89" s="115"/>
      <c r="C89" s="115"/>
      <c r="D89" s="115"/>
      <c r="E89" s="115"/>
      <c r="F89" s="115"/>
    </row>
    <row r="90" spans="1:6" ht="12.75">
      <c r="A90" s="3"/>
      <c r="B90" s="3"/>
      <c r="C90" s="3"/>
      <c r="D90" s="3"/>
      <c r="E90" s="3"/>
      <c r="F90" s="3"/>
    </row>
    <row r="91" spans="1:6" ht="15">
      <c r="A91" s="39" t="s">
        <v>132</v>
      </c>
      <c r="B91" s="3"/>
      <c r="C91" s="3"/>
      <c r="D91" s="3"/>
      <c r="E91" s="3"/>
      <c r="F91" s="3"/>
    </row>
    <row r="92" spans="1:6" ht="14.25">
      <c r="A92" s="117" t="s">
        <v>135</v>
      </c>
      <c r="B92" s="115"/>
      <c r="C92" s="115"/>
      <c r="D92" s="115"/>
      <c r="E92" s="115"/>
      <c r="F92" s="115"/>
    </row>
    <row r="93" spans="1:6" ht="14.25">
      <c r="A93" s="117" t="s">
        <v>137</v>
      </c>
      <c r="B93" s="115"/>
      <c r="C93" s="115"/>
      <c r="D93" s="115"/>
      <c r="E93" s="115"/>
      <c r="F93" s="115"/>
    </row>
    <row r="94" spans="1:6" ht="12.75">
      <c r="A94" s="3"/>
      <c r="B94" s="3"/>
      <c r="C94" s="3"/>
      <c r="D94" s="3"/>
      <c r="E94" s="3"/>
      <c r="F94" s="3"/>
    </row>
    <row r="95" spans="1:6" ht="16.5">
      <c r="A95" s="118" t="s">
        <v>139</v>
      </c>
      <c r="B95" s="115"/>
      <c r="C95" s="115"/>
      <c r="D95" s="115"/>
      <c r="E95" s="115"/>
      <c r="F95" s="115"/>
    </row>
    <row r="96" spans="1:6" ht="14.25">
      <c r="A96" s="117" t="s">
        <v>143</v>
      </c>
      <c r="B96" s="115"/>
      <c r="C96" s="115"/>
      <c r="D96" s="115"/>
      <c r="E96" s="115"/>
      <c r="F96" s="115"/>
    </row>
    <row r="97" spans="1:6" ht="14.25">
      <c r="A97" s="117" t="s">
        <v>144</v>
      </c>
      <c r="B97" s="115"/>
      <c r="C97" s="115"/>
      <c r="D97" s="115"/>
      <c r="E97" s="115"/>
      <c r="F97" s="115"/>
    </row>
    <row r="98" spans="1:6" ht="14.25">
      <c r="A98" s="117" t="s">
        <v>145</v>
      </c>
      <c r="B98" s="115"/>
      <c r="C98" s="115"/>
      <c r="D98" s="115"/>
      <c r="E98" s="115"/>
      <c r="F98" s="115"/>
    </row>
    <row r="99" spans="1:6" ht="14.25">
      <c r="A99" s="117" t="s">
        <v>148</v>
      </c>
      <c r="B99" s="115"/>
      <c r="C99" s="115"/>
      <c r="D99" s="115"/>
      <c r="E99" s="115"/>
      <c r="F99" s="115"/>
    </row>
    <row r="100" spans="1:6" ht="14.25">
      <c r="A100" s="117" t="s">
        <v>149</v>
      </c>
      <c r="B100" s="115"/>
      <c r="C100" s="115"/>
      <c r="D100" s="115"/>
      <c r="E100" s="115"/>
      <c r="F100" s="115"/>
    </row>
    <row r="101" spans="1:6" ht="14.25">
      <c r="A101" s="117" t="s">
        <v>152</v>
      </c>
      <c r="B101" s="115"/>
      <c r="C101" s="115"/>
      <c r="D101" s="115"/>
      <c r="E101" s="115"/>
      <c r="F101" s="115"/>
    </row>
    <row r="102" spans="1:6" ht="14.25">
      <c r="A102" s="117" t="s">
        <v>153</v>
      </c>
      <c r="B102" s="115"/>
      <c r="C102" s="115"/>
      <c r="D102" s="115"/>
      <c r="E102" s="115"/>
      <c r="F102" s="115"/>
    </row>
    <row r="103" spans="1:6" ht="14.25">
      <c r="A103" s="117" t="s">
        <v>157</v>
      </c>
      <c r="B103" s="115"/>
      <c r="C103" s="115"/>
      <c r="D103" s="115"/>
      <c r="E103" s="115"/>
      <c r="F103" s="115"/>
    </row>
    <row r="104" spans="1:6" ht="14.25">
      <c r="A104" s="117" t="s">
        <v>159</v>
      </c>
      <c r="B104" s="115"/>
      <c r="C104" s="115"/>
      <c r="D104" s="115"/>
      <c r="E104" s="115"/>
      <c r="F104" s="115"/>
    </row>
    <row r="105" spans="1:6" ht="12.75">
      <c r="A105" s="3"/>
      <c r="B105" s="3"/>
      <c r="C105" s="3"/>
      <c r="D105" s="3"/>
      <c r="E105" s="3"/>
      <c r="F105" s="3"/>
    </row>
    <row r="106" spans="1:6" ht="16.5">
      <c r="A106" s="118" t="s">
        <v>163</v>
      </c>
      <c r="B106" s="115"/>
      <c r="C106" s="115"/>
      <c r="D106" s="115"/>
      <c r="E106" s="115"/>
      <c r="F106" s="115"/>
    </row>
    <row r="107" spans="1:6" ht="14.25">
      <c r="A107" s="117" t="s">
        <v>166</v>
      </c>
      <c r="B107" s="115"/>
      <c r="C107" s="115"/>
      <c r="D107" s="115"/>
      <c r="E107" s="115"/>
      <c r="F107" s="115"/>
    </row>
    <row r="108" spans="1:6" ht="14.25">
      <c r="A108" s="117" t="s">
        <v>169</v>
      </c>
      <c r="B108" s="115"/>
      <c r="C108" s="115"/>
      <c r="D108" s="115"/>
      <c r="E108" s="115"/>
      <c r="F108" s="115"/>
    </row>
    <row r="109" spans="1:6" ht="12.75">
      <c r="A109" s="3"/>
      <c r="B109" s="3"/>
      <c r="C109" s="3"/>
      <c r="D109" s="3"/>
      <c r="E109" s="3"/>
      <c r="F109" s="3"/>
    </row>
    <row r="110" spans="1:6" ht="16.5">
      <c r="A110" s="118" t="s">
        <v>174</v>
      </c>
      <c r="B110" s="115"/>
      <c r="C110" s="115"/>
      <c r="D110" s="115"/>
      <c r="E110" s="115"/>
      <c r="F110" s="115"/>
    </row>
    <row r="111" spans="1:6" ht="14.25">
      <c r="A111" s="117" t="s">
        <v>177</v>
      </c>
      <c r="B111" s="115"/>
      <c r="C111" s="115"/>
      <c r="D111" s="115"/>
      <c r="E111" s="115"/>
      <c r="F111" s="115"/>
    </row>
    <row r="112" spans="1:6" ht="14.25">
      <c r="A112" s="117" t="s">
        <v>181</v>
      </c>
      <c r="B112" s="115"/>
      <c r="C112" s="115"/>
      <c r="D112" s="115"/>
      <c r="E112" s="115"/>
      <c r="F112" s="115"/>
    </row>
    <row r="113" spans="1:6" ht="14.25">
      <c r="A113" s="148" t="s">
        <v>185</v>
      </c>
      <c r="B113" s="5"/>
      <c r="C113" s="5"/>
      <c r="D113" s="5"/>
      <c r="E113" s="5"/>
      <c r="F113" s="5"/>
    </row>
    <row r="114" spans="1:6" ht="14.25">
      <c r="A114" s="117" t="s">
        <v>197</v>
      </c>
      <c r="B114" s="115"/>
      <c r="C114" s="115"/>
      <c r="D114" s="115"/>
      <c r="E114" s="115"/>
      <c r="F114" s="115"/>
    </row>
  </sheetData>
  <mergeCells count="79">
    <mergeCell ref="A62:F62"/>
    <mergeCell ref="A63:F63"/>
    <mergeCell ref="A64:F64"/>
    <mergeCell ref="A65:F65"/>
    <mergeCell ref="A57:F57"/>
    <mergeCell ref="A58:F58"/>
    <mergeCell ref="A59:F59"/>
    <mergeCell ref="A60:F60"/>
    <mergeCell ref="A61:F61"/>
    <mergeCell ref="A52:F52"/>
    <mergeCell ref="A53:F53"/>
    <mergeCell ref="A54:F54"/>
    <mergeCell ref="A55:F55"/>
    <mergeCell ref="A56:F56"/>
    <mergeCell ref="A47:F47"/>
    <mergeCell ref="A48:F48"/>
    <mergeCell ref="A49:F49"/>
    <mergeCell ref="A50:F50"/>
    <mergeCell ref="A51:F51"/>
    <mergeCell ref="A40:F40"/>
    <mergeCell ref="A41:F41"/>
    <mergeCell ref="A42:F42"/>
    <mergeCell ref="A44:F44"/>
    <mergeCell ref="A45:F45"/>
    <mergeCell ref="A35:F35"/>
    <mergeCell ref="A36:F36"/>
    <mergeCell ref="A37:F37"/>
    <mergeCell ref="A38:F38"/>
    <mergeCell ref="A39:F39"/>
    <mergeCell ref="A20:F20"/>
    <mergeCell ref="A21:F21"/>
    <mergeCell ref="A22:F22"/>
    <mergeCell ref="A24:F24"/>
    <mergeCell ref="A33:F33"/>
    <mergeCell ref="A14:F14"/>
    <mergeCell ref="A15:F15"/>
    <mergeCell ref="A16:F16"/>
    <mergeCell ref="A17:F17"/>
    <mergeCell ref="A18:F18"/>
    <mergeCell ref="A8:F8"/>
    <mergeCell ref="A9:F9"/>
    <mergeCell ref="A10:F10"/>
    <mergeCell ref="A11:F11"/>
    <mergeCell ref="A13:F13"/>
    <mergeCell ref="A1:C1"/>
    <mergeCell ref="A3:F3"/>
    <mergeCell ref="A5:F5"/>
    <mergeCell ref="A6:F6"/>
    <mergeCell ref="A7:F7"/>
    <mergeCell ref="A110:F110"/>
    <mergeCell ref="A111:F111"/>
    <mergeCell ref="A112:F112"/>
    <mergeCell ref="A114:F114"/>
    <mergeCell ref="A98:F98"/>
    <mergeCell ref="A99:F99"/>
    <mergeCell ref="A100:F100"/>
    <mergeCell ref="A101:F101"/>
    <mergeCell ref="A102:F102"/>
    <mergeCell ref="A103:F103"/>
    <mergeCell ref="A104:F104"/>
    <mergeCell ref="A96:F96"/>
    <mergeCell ref="A97:F97"/>
    <mergeCell ref="A106:F106"/>
    <mergeCell ref="A107:F107"/>
    <mergeCell ref="A108:F108"/>
    <mergeCell ref="A79:F79"/>
    <mergeCell ref="A89:F89"/>
    <mergeCell ref="A92:F92"/>
    <mergeCell ref="A93:F93"/>
    <mergeCell ref="A95:F95"/>
    <mergeCell ref="A75:B75"/>
    <mergeCell ref="A78:C78"/>
    <mergeCell ref="A66:F66"/>
    <mergeCell ref="A67:F67"/>
    <mergeCell ref="A68:F68"/>
    <mergeCell ref="A70:F70"/>
    <mergeCell ref="A72:F72"/>
    <mergeCell ref="A73:F73"/>
    <mergeCell ref="A76:F7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74EA7"/>
    <outlinePr summaryBelow="0" summaryRight="0"/>
  </sheetPr>
  <dimension ref="A1:F24"/>
  <sheetViews>
    <sheetView workbookViewId="0">
      <selection sqref="A1:A22"/>
    </sheetView>
  </sheetViews>
  <sheetFormatPr defaultColWidth="12.5703125" defaultRowHeight="15.75" customHeight="1"/>
  <cols>
    <col min="1" max="1" width="3.28515625" customWidth="1"/>
    <col min="2" max="2" width="3" customWidth="1"/>
    <col min="3" max="3" width="30" customWidth="1"/>
    <col min="4" max="5" width="4.140625" customWidth="1"/>
    <col min="6" max="6" width="67.42578125" customWidth="1"/>
  </cols>
  <sheetData>
    <row r="1" spans="1:6">
      <c r="A1" s="115"/>
      <c r="C1" s="12" t="s">
        <v>41</v>
      </c>
      <c r="D1" s="12" t="s">
        <v>47</v>
      </c>
      <c r="E1" s="12" t="s">
        <v>49</v>
      </c>
      <c r="F1" s="1" t="s">
        <v>36</v>
      </c>
    </row>
    <row r="2" spans="1:6">
      <c r="A2" s="115"/>
      <c r="B2" s="123" t="s">
        <v>57</v>
      </c>
      <c r="C2" s="15" t="s">
        <v>64</v>
      </c>
      <c r="D2" s="16">
        <v>28</v>
      </c>
      <c r="E2" s="20">
        <f t="shared" ref="E2:E20" si="0">D2/$D$21</f>
        <v>0.21374045801526717</v>
      </c>
      <c r="F2" s="126" t="s">
        <v>77</v>
      </c>
    </row>
    <row r="3" spans="1:6">
      <c r="A3" s="115"/>
      <c r="B3" s="124"/>
      <c r="C3" s="21" t="s">
        <v>78</v>
      </c>
      <c r="D3" s="23">
        <v>18</v>
      </c>
      <c r="E3" s="25">
        <f t="shared" si="0"/>
        <v>0.13740458015267176</v>
      </c>
      <c r="F3" s="115"/>
    </row>
    <row r="4" spans="1:6">
      <c r="A4" s="115"/>
      <c r="B4" s="124"/>
      <c r="C4" s="27" t="s">
        <v>89</v>
      </c>
      <c r="D4" s="29">
        <v>13</v>
      </c>
      <c r="E4" s="30">
        <f t="shared" si="0"/>
        <v>9.9236641221374045E-2</v>
      </c>
      <c r="F4" s="115"/>
    </row>
    <row r="5" spans="1:6">
      <c r="A5" s="115"/>
      <c r="B5" s="124"/>
      <c r="C5" s="31" t="s">
        <v>96</v>
      </c>
      <c r="D5" s="32">
        <v>4</v>
      </c>
      <c r="E5" s="34">
        <f t="shared" si="0"/>
        <v>3.0534351145038167E-2</v>
      </c>
      <c r="F5" s="115"/>
    </row>
    <row r="6" spans="1:6">
      <c r="A6" s="115"/>
      <c r="B6" s="124"/>
      <c r="C6" s="36" t="s">
        <v>103</v>
      </c>
      <c r="D6" s="38">
        <v>3</v>
      </c>
      <c r="E6" s="40">
        <f t="shared" si="0"/>
        <v>2.2900763358778626E-2</v>
      </c>
      <c r="F6" s="115"/>
    </row>
    <row r="7" spans="1:6">
      <c r="A7" s="115"/>
      <c r="B7" s="125"/>
      <c r="C7" s="42" t="s">
        <v>4</v>
      </c>
      <c r="D7" s="46">
        <f>SUM(D2:D6)</f>
        <v>66</v>
      </c>
      <c r="E7" s="49">
        <f t="shared" si="0"/>
        <v>0.50381679389312972</v>
      </c>
    </row>
    <row r="8" spans="1:6">
      <c r="A8" s="115"/>
      <c r="B8" s="123" t="s">
        <v>120</v>
      </c>
      <c r="C8" s="52" t="s">
        <v>124</v>
      </c>
      <c r="D8" s="54">
        <v>4</v>
      </c>
      <c r="E8" s="55">
        <f t="shared" si="0"/>
        <v>3.0534351145038167E-2</v>
      </c>
      <c r="F8" s="57" t="s">
        <v>133</v>
      </c>
    </row>
    <row r="9" spans="1:6">
      <c r="A9" s="115"/>
      <c r="B9" s="124"/>
      <c r="C9" s="59" t="s">
        <v>136</v>
      </c>
      <c r="D9" s="60">
        <v>4</v>
      </c>
      <c r="E9" s="61">
        <f t="shared" si="0"/>
        <v>3.0534351145038167E-2</v>
      </c>
    </row>
    <row r="10" spans="1:6">
      <c r="A10" s="115"/>
      <c r="B10" s="124"/>
      <c r="C10" s="63" t="s">
        <v>141</v>
      </c>
      <c r="D10" s="64">
        <v>2</v>
      </c>
      <c r="E10" s="65">
        <f t="shared" si="0"/>
        <v>1.5267175572519083E-2</v>
      </c>
    </row>
    <row r="11" spans="1:6">
      <c r="A11" s="115"/>
      <c r="B11" s="124"/>
      <c r="C11" s="59" t="s">
        <v>147</v>
      </c>
      <c r="D11" s="60">
        <v>1</v>
      </c>
      <c r="E11" s="61">
        <f t="shared" si="0"/>
        <v>7.6335877862595417E-3</v>
      </c>
      <c r="F11" s="57" t="s">
        <v>150</v>
      </c>
    </row>
    <row r="12" spans="1:6">
      <c r="A12" s="115"/>
      <c r="B12" s="124"/>
      <c r="C12" s="63" t="s">
        <v>151</v>
      </c>
      <c r="D12" s="64">
        <v>4</v>
      </c>
      <c r="E12" s="65">
        <f t="shared" si="0"/>
        <v>3.0534351145038167E-2</v>
      </c>
    </row>
    <row r="13" spans="1:6">
      <c r="A13" s="115"/>
      <c r="B13" s="124"/>
      <c r="C13" s="59" t="s">
        <v>155</v>
      </c>
      <c r="D13" s="60">
        <v>4</v>
      </c>
      <c r="E13" s="61">
        <f t="shared" si="0"/>
        <v>3.0534351145038167E-2</v>
      </c>
    </row>
    <row r="14" spans="1:6">
      <c r="A14" s="115"/>
      <c r="B14" s="124"/>
      <c r="C14" s="63" t="s">
        <v>158</v>
      </c>
      <c r="D14" s="64">
        <v>2</v>
      </c>
      <c r="E14" s="65">
        <f t="shared" si="0"/>
        <v>1.5267175572519083E-2</v>
      </c>
    </row>
    <row r="15" spans="1:6">
      <c r="A15" s="115"/>
      <c r="B15" s="124"/>
      <c r="C15" s="59" t="s">
        <v>162</v>
      </c>
      <c r="D15" s="60">
        <v>1</v>
      </c>
      <c r="E15" s="61">
        <f t="shared" si="0"/>
        <v>7.6335877862595417E-3</v>
      </c>
    </row>
    <row r="16" spans="1:6">
      <c r="A16" s="115"/>
      <c r="B16" s="124"/>
      <c r="C16" s="63" t="s">
        <v>164</v>
      </c>
      <c r="D16" s="64">
        <v>2</v>
      </c>
      <c r="E16" s="65">
        <f t="shared" si="0"/>
        <v>1.5267175572519083E-2</v>
      </c>
    </row>
    <row r="17" spans="1:6">
      <c r="A17" s="115"/>
      <c r="B17" s="124"/>
      <c r="C17" s="59" t="s">
        <v>168</v>
      </c>
      <c r="D17" s="60">
        <v>1</v>
      </c>
      <c r="E17" s="61">
        <f t="shared" si="0"/>
        <v>7.6335877862595417E-3</v>
      </c>
      <c r="F17" s="1" t="s">
        <v>170</v>
      </c>
    </row>
    <row r="18" spans="1:6">
      <c r="A18" s="115"/>
      <c r="B18" s="124"/>
      <c r="C18" s="63" t="s">
        <v>173</v>
      </c>
      <c r="D18" s="64">
        <v>2</v>
      </c>
      <c r="E18" s="65">
        <f t="shared" si="0"/>
        <v>1.5267175572519083E-2</v>
      </c>
      <c r="F18" s="57" t="s">
        <v>176</v>
      </c>
    </row>
    <row r="19" spans="1:6">
      <c r="A19" s="115"/>
      <c r="B19" s="125"/>
      <c r="C19" s="69" t="s">
        <v>4</v>
      </c>
      <c r="D19" s="71">
        <f>SUM(D8:D18)</f>
        <v>27</v>
      </c>
      <c r="E19" s="73">
        <f t="shared" si="0"/>
        <v>0.20610687022900764</v>
      </c>
    </row>
    <row r="20" spans="1:6">
      <c r="A20" s="115"/>
      <c r="B20" s="75" t="s">
        <v>191</v>
      </c>
      <c r="C20" s="77" t="s">
        <v>193</v>
      </c>
      <c r="D20" s="78">
        <v>38</v>
      </c>
      <c r="E20" s="80">
        <f t="shared" si="0"/>
        <v>0.29007633587786258</v>
      </c>
    </row>
    <row r="21" spans="1:6">
      <c r="A21" s="115"/>
      <c r="B21" s="127" t="s">
        <v>199</v>
      </c>
      <c r="C21" s="128"/>
      <c r="D21" s="129">
        <f>D20+D19+D7</f>
        <v>131</v>
      </c>
      <c r="E21" s="130"/>
    </row>
    <row r="22" spans="1:6" ht="15.75" customHeight="1">
      <c r="A22" s="115"/>
      <c r="B22" s="115"/>
      <c r="C22" s="115"/>
      <c r="D22" s="115"/>
      <c r="E22" s="115"/>
    </row>
    <row r="23" spans="1:6">
      <c r="B23" s="115"/>
      <c r="C23" s="115"/>
      <c r="D23" s="122"/>
      <c r="E23" s="115"/>
    </row>
    <row r="24" spans="1:6" ht="15.75" customHeight="1">
      <c r="B24" s="115"/>
      <c r="C24" s="115"/>
      <c r="D24" s="115"/>
      <c r="E24" s="115"/>
    </row>
  </sheetData>
  <mergeCells count="10">
    <mergeCell ref="F2:F6"/>
    <mergeCell ref="B8:B19"/>
    <mergeCell ref="B21:C21"/>
    <mergeCell ref="D21:E21"/>
    <mergeCell ref="B22:E22"/>
    <mergeCell ref="B23:C23"/>
    <mergeCell ref="D23:E23"/>
    <mergeCell ref="B24:E24"/>
    <mergeCell ref="A1:A22"/>
    <mergeCell ref="B2: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74EA7"/>
    <outlinePr summaryBelow="0" summaryRight="0"/>
  </sheetPr>
  <dimension ref="A1:C79"/>
  <sheetViews>
    <sheetView tabSelected="1" zoomScale="145" zoomScaleNormal="145" workbookViewId="0">
      <pane ySplit="1" topLeftCell="A2" activePane="bottomLeft" state="frozen"/>
      <selection pane="bottomLeft" activeCell="F12" sqref="F12"/>
    </sheetView>
  </sheetViews>
  <sheetFormatPr defaultColWidth="12.5703125" defaultRowHeight="12.75"/>
  <cols>
    <col min="1" max="1" width="3.7109375" customWidth="1"/>
    <col min="2" max="2" width="36.140625" customWidth="1"/>
    <col min="3" max="3" width="88.28515625" customWidth="1"/>
  </cols>
  <sheetData>
    <row r="1" spans="1:3" ht="15.75">
      <c r="A1" s="131" t="s">
        <v>69</v>
      </c>
      <c r="B1" s="132"/>
      <c r="C1" s="19" t="s">
        <v>76</v>
      </c>
    </row>
    <row r="2" spans="1:3" ht="25.5">
      <c r="A2" s="133">
        <v>1</v>
      </c>
      <c r="B2" s="142" t="s">
        <v>352</v>
      </c>
      <c r="C2" s="24" t="s">
        <v>83</v>
      </c>
    </row>
    <row r="3" spans="1:3">
      <c r="A3" s="134"/>
      <c r="B3" s="26" t="s">
        <v>86</v>
      </c>
      <c r="C3" s="28" t="s">
        <v>90</v>
      </c>
    </row>
    <row r="4" spans="1:3" ht="25.5">
      <c r="A4" s="135">
        <v>2</v>
      </c>
      <c r="B4" s="143" t="s">
        <v>353</v>
      </c>
      <c r="C4" s="33" t="s">
        <v>100</v>
      </c>
    </row>
    <row r="5" spans="1:3">
      <c r="A5" s="134"/>
      <c r="B5" s="35" t="s">
        <v>86</v>
      </c>
      <c r="C5" s="37" t="s">
        <v>104</v>
      </c>
    </row>
    <row r="6" spans="1:3" ht="45">
      <c r="A6" s="135">
        <v>3</v>
      </c>
      <c r="B6" s="144" t="s">
        <v>354</v>
      </c>
      <c r="C6" s="43" t="s">
        <v>109</v>
      </c>
    </row>
    <row r="7" spans="1:3">
      <c r="A7" s="134"/>
      <c r="B7" s="44" t="s">
        <v>86</v>
      </c>
      <c r="C7" s="45"/>
    </row>
    <row r="8" spans="1:3" ht="25.5">
      <c r="A8" s="135">
        <v>4</v>
      </c>
      <c r="B8" s="143" t="s">
        <v>358</v>
      </c>
      <c r="C8" s="47" t="s">
        <v>117</v>
      </c>
    </row>
    <row r="9" spans="1:3">
      <c r="A9" s="134"/>
      <c r="B9" s="50" t="s">
        <v>86</v>
      </c>
      <c r="C9" s="37" t="s">
        <v>121</v>
      </c>
    </row>
    <row r="10" spans="1:3" ht="25.5">
      <c r="A10" s="135">
        <v>5</v>
      </c>
      <c r="B10" s="145" t="s">
        <v>357</v>
      </c>
      <c r="C10" s="53" t="s">
        <v>126</v>
      </c>
    </row>
    <row r="11" spans="1:3">
      <c r="A11" s="134"/>
      <c r="B11" s="26" t="s">
        <v>129</v>
      </c>
      <c r="C11" s="28" t="s">
        <v>130</v>
      </c>
    </row>
    <row r="12" spans="1:3" ht="33.75">
      <c r="A12" s="135">
        <v>6</v>
      </c>
      <c r="B12" s="81" t="s">
        <v>355</v>
      </c>
      <c r="C12" s="58" t="s">
        <v>134</v>
      </c>
    </row>
    <row r="13" spans="1:3">
      <c r="A13" s="134"/>
      <c r="B13" s="35" t="s">
        <v>86</v>
      </c>
      <c r="C13" s="58" t="s">
        <v>138</v>
      </c>
    </row>
    <row r="14" spans="1:3" ht="67.5">
      <c r="A14" s="135">
        <v>7</v>
      </c>
      <c r="B14" s="144" t="s">
        <v>356</v>
      </c>
      <c r="C14" s="43" t="s">
        <v>140</v>
      </c>
    </row>
    <row r="15" spans="1:3">
      <c r="A15" s="134"/>
      <c r="B15" s="62" t="s">
        <v>86</v>
      </c>
      <c r="C15" s="45" t="s">
        <v>142</v>
      </c>
    </row>
    <row r="16" spans="1:3" ht="25.5">
      <c r="A16" s="135">
        <v>8</v>
      </c>
      <c r="B16" s="146" t="s">
        <v>359</v>
      </c>
      <c r="C16" s="67" t="s">
        <v>146</v>
      </c>
    </row>
    <row r="17" spans="1:3">
      <c r="A17" s="134"/>
      <c r="B17" s="50" t="s">
        <v>86</v>
      </c>
      <c r="C17" s="37" t="s">
        <v>138</v>
      </c>
    </row>
    <row r="18" spans="1:3" ht="25.5">
      <c r="A18" s="135">
        <v>9</v>
      </c>
      <c r="B18" s="144" t="s">
        <v>360</v>
      </c>
      <c r="C18" s="43" t="s">
        <v>154</v>
      </c>
    </row>
    <row r="19" spans="1:3">
      <c r="A19" s="134"/>
      <c r="B19" s="62" t="s">
        <v>86</v>
      </c>
      <c r="C19" s="45" t="s">
        <v>156</v>
      </c>
    </row>
    <row r="20" spans="1:3" ht="25.5">
      <c r="A20" s="135">
        <v>10</v>
      </c>
      <c r="B20" s="143" t="s">
        <v>361</v>
      </c>
      <c r="C20" s="33" t="s">
        <v>160</v>
      </c>
    </row>
    <row r="21" spans="1:3">
      <c r="A21" s="134"/>
      <c r="B21" s="50" t="s">
        <v>86</v>
      </c>
      <c r="C21" s="37" t="s">
        <v>161</v>
      </c>
    </row>
    <row r="22" spans="1:3" ht="25.5">
      <c r="A22" s="135">
        <v>11</v>
      </c>
      <c r="B22" s="145" t="s">
        <v>362</v>
      </c>
      <c r="C22" s="53" t="s">
        <v>165</v>
      </c>
    </row>
    <row r="23" spans="1:3">
      <c r="A23" s="134"/>
      <c r="B23" s="26" t="s">
        <v>86</v>
      </c>
      <c r="C23" s="28" t="s">
        <v>167</v>
      </c>
    </row>
    <row r="24" spans="1:3" ht="33.75">
      <c r="A24" s="135">
        <v>12</v>
      </c>
      <c r="B24" s="143" t="s">
        <v>363</v>
      </c>
      <c r="C24" s="33" t="s">
        <v>171</v>
      </c>
    </row>
    <row r="25" spans="1:3">
      <c r="A25" s="134"/>
      <c r="B25" s="50" t="s">
        <v>86</v>
      </c>
      <c r="C25" s="37" t="s">
        <v>175</v>
      </c>
    </row>
    <row r="26" spans="1:3" ht="25.5">
      <c r="A26" s="135">
        <v>13</v>
      </c>
      <c r="B26" s="144" t="s">
        <v>364</v>
      </c>
      <c r="C26" s="43" t="s">
        <v>178</v>
      </c>
    </row>
    <row r="27" spans="1:3">
      <c r="A27" s="134"/>
      <c r="B27" s="62" t="s">
        <v>86</v>
      </c>
      <c r="C27" s="45" t="s">
        <v>180</v>
      </c>
    </row>
    <row r="28" spans="1:3" ht="22.5">
      <c r="A28" s="135">
        <v>14</v>
      </c>
      <c r="B28" s="35" t="s">
        <v>183</v>
      </c>
      <c r="C28" s="58" t="s">
        <v>184</v>
      </c>
    </row>
    <row r="29" spans="1:3">
      <c r="A29" s="134"/>
      <c r="B29" s="50" t="s">
        <v>86</v>
      </c>
      <c r="C29" s="72" t="s">
        <v>186</v>
      </c>
    </row>
    <row r="30" spans="1:3">
      <c r="A30" s="135">
        <v>15</v>
      </c>
      <c r="B30" s="44" t="s">
        <v>189</v>
      </c>
      <c r="C30" s="74" t="s">
        <v>190</v>
      </c>
    </row>
    <row r="31" spans="1:3">
      <c r="A31" s="134"/>
      <c r="B31" s="62" t="s">
        <v>86</v>
      </c>
      <c r="C31" s="76" t="s">
        <v>192</v>
      </c>
    </row>
    <row r="32" spans="1:3" ht="22.5">
      <c r="A32" s="135">
        <v>16</v>
      </c>
      <c r="B32" s="35" t="s">
        <v>194</v>
      </c>
      <c r="C32" s="58" t="s">
        <v>195</v>
      </c>
    </row>
    <row r="33" spans="1:3">
      <c r="A33" s="134"/>
      <c r="B33" s="50" t="s">
        <v>86</v>
      </c>
      <c r="C33" s="79" t="s">
        <v>196</v>
      </c>
    </row>
    <row r="34" spans="1:3" ht="22.5">
      <c r="A34" s="135">
        <v>17</v>
      </c>
      <c r="B34" s="44" t="s">
        <v>198</v>
      </c>
      <c r="C34" s="74" t="s">
        <v>200</v>
      </c>
    </row>
    <row r="35" spans="1:3">
      <c r="A35" s="134"/>
      <c r="B35" s="62" t="s">
        <v>86</v>
      </c>
      <c r="C35" s="147" t="s">
        <v>201</v>
      </c>
    </row>
    <row r="36" spans="1:3" ht="22.5">
      <c r="A36" s="135">
        <v>18</v>
      </c>
      <c r="B36" s="35" t="s">
        <v>202</v>
      </c>
      <c r="C36" s="58" t="s">
        <v>203</v>
      </c>
    </row>
    <row r="37" spans="1:3">
      <c r="A37" s="134"/>
      <c r="B37" s="50" t="s">
        <v>86</v>
      </c>
      <c r="C37" s="79" t="s">
        <v>204</v>
      </c>
    </row>
    <row r="38" spans="1:3" ht="22.5">
      <c r="A38" s="135">
        <v>19</v>
      </c>
      <c r="B38" s="44" t="s">
        <v>205</v>
      </c>
      <c r="C38" s="74" t="s">
        <v>206</v>
      </c>
    </row>
    <row r="39" spans="1:3">
      <c r="A39" s="134"/>
      <c r="B39" s="62" t="s">
        <v>86</v>
      </c>
      <c r="C39" s="147" t="s">
        <v>207</v>
      </c>
    </row>
    <row r="40" spans="1:3">
      <c r="A40" s="135">
        <v>20</v>
      </c>
      <c r="B40" s="35" t="s">
        <v>208</v>
      </c>
      <c r="C40" s="58" t="s">
        <v>209</v>
      </c>
    </row>
    <row r="41" spans="1:3">
      <c r="A41" s="134"/>
      <c r="B41" s="50" t="s">
        <v>86</v>
      </c>
      <c r="C41" s="79" t="s">
        <v>210</v>
      </c>
    </row>
    <row r="42" spans="1:3">
      <c r="A42" s="135">
        <v>21</v>
      </c>
      <c r="B42" s="44" t="s">
        <v>211</v>
      </c>
      <c r="C42" s="74" t="s">
        <v>212</v>
      </c>
    </row>
    <row r="43" spans="1:3">
      <c r="A43" s="134"/>
      <c r="B43" s="62" t="s">
        <v>129</v>
      </c>
      <c r="C43" s="147" t="s">
        <v>213</v>
      </c>
    </row>
    <row r="44" spans="1:3" ht="33.75">
      <c r="A44" s="135">
        <v>22</v>
      </c>
      <c r="B44" s="35" t="s">
        <v>214</v>
      </c>
      <c r="C44" s="58" t="s">
        <v>215</v>
      </c>
    </row>
    <row r="45" spans="1:3">
      <c r="A45" s="134"/>
      <c r="B45" s="50" t="s">
        <v>86</v>
      </c>
      <c r="C45" s="79" t="s">
        <v>216</v>
      </c>
    </row>
    <row r="46" spans="1:3">
      <c r="A46" s="135">
        <v>23</v>
      </c>
      <c r="B46" s="44" t="s">
        <v>217</v>
      </c>
      <c r="C46" s="74" t="s">
        <v>218</v>
      </c>
    </row>
    <row r="47" spans="1:3">
      <c r="A47" s="134"/>
      <c r="B47" s="62" t="s">
        <v>86</v>
      </c>
      <c r="C47" s="147" t="s">
        <v>219</v>
      </c>
    </row>
    <row r="48" spans="1:3" ht="22.5">
      <c r="A48" s="135">
        <v>24</v>
      </c>
      <c r="B48" s="81" t="s">
        <v>220</v>
      </c>
      <c r="C48" s="58" t="s">
        <v>221</v>
      </c>
    </row>
    <row r="49" spans="1:3">
      <c r="A49" s="134"/>
      <c r="B49" s="50" t="s">
        <v>86</v>
      </c>
      <c r="C49" s="79" t="s">
        <v>222</v>
      </c>
    </row>
    <row r="50" spans="1:3">
      <c r="A50" s="135">
        <v>25</v>
      </c>
      <c r="B50" s="44" t="s">
        <v>223</v>
      </c>
      <c r="C50" s="74" t="s">
        <v>224</v>
      </c>
    </row>
    <row r="51" spans="1:3">
      <c r="A51" s="134"/>
      <c r="B51" s="62" t="s">
        <v>86</v>
      </c>
      <c r="C51" s="147" t="s">
        <v>225</v>
      </c>
    </row>
    <row r="52" spans="1:3" ht="22.5">
      <c r="A52" s="135">
        <v>26</v>
      </c>
      <c r="B52" s="35" t="s">
        <v>226</v>
      </c>
      <c r="C52" s="58" t="s">
        <v>227</v>
      </c>
    </row>
    <row r="53" spans="1:3">
      <c r="A53" s="134"/>
      <c r="B53" s="50" t="s">
        <v>86</v>
      </c>
      <c r="C53" s="79" t="s">
        <v>228</v>
      </c>
    </row>
    <row r="54" spans="1:3">
      <c r="A54" s="135">
        <v>27</v>
      </c>
      <c r="B54" s="44" t="s">
        <v>229</v>
      </c>
      <c r="C54" s="74" t="s">
        <v>230</v>
      </c>
    </row>
    <row r="55" spans="1:3">
      <c r="A55" s="134"/>
      <c r="B55" s="62" t="s">
        <v>86</v>
      </c>
      <c r="C55" s="147" t="s">
        <v>231</v>
      </c>
    </row>
    <row r="56" spans="1:3" ht="33.75">
      <c r="A56" s="135">
        <v>28</v>
      </c>
      <c r="B56" s="35" t="s">
        <v>232</v>
      </c>
      <c r="C56" s="58" t="s">
        <v>233</v>
      </c>
    </row>
    <row r="57" spans="1:3">
      <c r="A57" s="134"/>
      <c r="B57" s="50" t="s">
        <v>86</v>
      </c>
      <c r="C57" s="79" t="s">
        <v>234</v>
      </c>
    </row>
    <row r="58" spans="1:3" ht="22.5">
      <c r="A58" s="135">
        <v>29</v>
      </c>
      <c r="B58" s="44" t="s">
        <v>235</v>
      </c>
      <c r="C58" s="74" t="s">
        <v>236</v>
      </c>
    </row>
    <row r="59" spans="1:3">
      <c r="A59" s="134"/>
      <c r="B59" s="62" t="s">
        <v>86</v>
      </c>
      <c r="C59" s="147" t="s">
        <v>237</v>
      </c>
    </row>
    <row r="60" spans="1:3">
      <c r="A60" s="135">
        <v>30</v>
      </c>
      <c r="B60" s="35" t="s">
        <v>238</v>
      </c>
      <c r="C60" s="58" t="s">
        <v>239</v>
      </c>
    </row>
    <row r="61" spans="1:3">
      <c r="A61" s="134"/>
      <c r="B61" s="50" t="s">
        <v>86</v>
      </c>
      <c r="C61" s="79" t="s">
        <v>240</v>
      </c>
    </row>
    <row r="62" spans="1:3" ht="22.5">
      <c r="A62" s="135">
        <v>31</v>
      </c>
      <c r="B62" s="44" t="s">
        <v>241</v>
      </c>
      <c r="C62" s="74" t="s">
        <v>242</v>
      </c>
    </row>
    <row r="63" spans="1:3">
      <c r="A63" s="134"/>
      <c r="B63" s="62" t="s">
        <v>86</v>
      </c>
      <c r="C63" s="147" t="s">
        <v>201</v>
      </c>
    </row>
    <row r="64" spans="1:3">
      <c r="A64" s="135">
        <v>32</v>
      </c>
      <c r="B64" s="35" t="s">
        <v>243</v>
      </c>
      <c r="C64" s="58" t="s">
        <v>244</v>
      </c>
    </row>
    <row r="65" spans="1:3">
      <c r="A65" s="134"/>
      <c r="B65" s="50" t="s">
        <v>86</v>
      </c>
      <c r="C65" s="79" t="s">
        <v>213</v>
      </c>
    </row>
    <row r="66" spans="1:3" ht="22.5">
      <c r="A66" s="135">
        <v>33</v>
      </c>
      <c r="B66" s="44" t="s">
        <v>245</v>
      </c>
      <c r="C66" s="74" t="s">
        <v>246</v>
      </c>
    </row>
    <row r="67" spans="1:3">
      <c r="A67" s="134"/>
      <c r="B67" s="62" t="s">
        <v>86</v>
      </c>
      <c r="C67" s="147" t="s">
        <v>247</v>
      </c>
    </row>
    <row r="68" spans="1:3">
      <c r="A68" s="135">
        <v>34</v>
      </c>
      <c r="B68" s="35" t="s">
        <v>248</v>
      </c>
      <c r="C68" s="58" t="s">
        <v>249</v>
      </c>
    </row>
    <row r="69" spans="1:3">
      <c r="A69" s="134"/>
      <c r="B69" s="50" t="s">
        <v>86</v>
      </c>
      <c r="C69" s="79" t="s">
        <v>250</v>
      </c>
    </row>
    <row r="70" spans="1:3" ht="22.5">
      <c r="A70" s="135">
        <v>35</v>
      </c>
      <c r="B70" s="44" t="s">
        <v>251</v>
      </c>
      <c r="C70" s="74" t="s">
        <v>252</v>
      </c>
    </row>
    <row r="71" spans="1:3">
      <c r="A71" s="134"/>
      <c r="B71" s="62" t="s">
        <v>86</v>
      </c>
      <c r="C71" s="147" t="s">
        <v>253</v>
      </c>
    </row>
    <row r="72" spans="1:3">
      <c r="A72" s="135">
        <v>36</v>
      </c>
      <c r="B72" s="35" t="s">
        <v>254</v>
      </c>
      <c r="C72" s="58" t="s">
        <v>255</v>
      </c>
    </row>
    <row r="73" spans="1:3">
      <c r="A73" s="134"/>
      <c r="B73" s="50" t="s">
        <v>86</v>
      </c>
      <c r="C73" s="79" t="s">
        <v>256</v>
      </c>
    </row>
    <row r="74" spans="1:3">
      <c r="A74" s="135">
        <v>37</v>
      </c>
      <c r="B74" s="44" t="s">
        <v>257</v>
      </c>
      <c r="C74" s="74" t="s">
        <v>258</v>
      </c>
    </row>
    <row r="75" spans="1:3">
      <c r="A75" s="134"/>
      <c r="B75" s="62" t="s">
        <v>86</v>
      </c>
      <c r="C75" s="147" t="s">
        <v>104</v>
      </c>
    </row>
    <row r="76" spans="1:3" ht="22.5">
      <c r="A76" s="135">
        <v>38</v>
      </c>
      <c r="B76" s="35" t="s">
        <v>259</v>
      </c>
      <c r="C76" s="58" t="s">
        <v>260</v>
      </c>
    </row>
    <row r="77" spans="1:3">
      <c r="A77" s="134"/>
      <c r="B77" s="50" t="s">
        <v>86</v>
      </c>
      <c r="C77" s="79" t="s">
        <v>261</v>
      </c>
    </row>
    <row r="78" spans="1:3">
      <c r="A78" s="22"/>
      <c r="B78" s="44"/>
      <c r="C78" s="74"/>
    </row>
    <row r="79" spans="1:3">
      <c r="A79" s="22"/>
      <c r="B79" s="44"/>
      <c r="C79" s="74"/>
    </row>
  </sheetData>
  <mergeCells count="39">
    <mergeCell ref="A74:A75"/>
    <mergeCell ref="A76:A77"/>
    <mergeCell ref="A56:A57"/>
    <mergeCell ref="A58:A59"/>
    <mergeCell ref="A60:A61"/>
    <mergeCell ref="A62:A63"/>
    <mergeCell ref="A64:A65"/>
    <mergeCell ref="A66:A67"/>
    <mergeCell ref="A68:A69"/>
    <mergeCell ref="A50:A51"/>
    <mergeCell ref="A52:A53"/>
    <mergeCell ref="A54:A55"/>
    <mergeCell ref="A70:A71"/>
    <mergeCell ref="A72:A73"/>
    <mergeCell ref="A40:A41"/>
    <mergeCell ref="A42:A43"/>
    <mergeCell ref="A44:A45"/>
    <mergeCell ref="A46:A47"/>
    <mergeCell ref="A48:A49"/>
    <mergeCell ref="A30:A31"/>
    <mergeCell ref="A32:A33"/>
    <mergeCell ref="A34:A35"/>
    <mergeCell ref="A36:A37"/>
    <mergeCell ref="A38:A39"/>
    <mergeCell ref="A20:A21"/>
    <mergeCell ref="A22:A23"/>
    <mergeCell ref="A24:A25"/>
    <mergeCell ref="A26:A27"/>
    <mergeCell ref="A28:A29"/>
    <mergeCell ref="A10:A11"/>
    <mergeCell ref="A12:A13"/>
    <mergeCell ref="A14:A15"/>
    <mergeCell ref="A16:A17"/>
    <mergeCell ref="A18:A19"/>
    <mergeCell ref="A1:B1"/>
    <mergeCell ref="A2:A3"/>
    <mergeCell ref="A4:A5"/>
    <mergeCell ref="A6:A7"/>
    <mergeCell ref="A8: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00"/>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C47D"/>
    <outlinePr summaryBelow="0" summaryRight="0"/>
  </sheetPr>
  <dimension ref="A1:I19"/>
  <sheetViews>
    <sheetView workbookViewId="0">
      <selection sqref="A1:B1"/>
    </sheetView>
  </sheetViews>
  <sheetFormatPr defaultColWidth="12.5703125" defaultRowHeight="15.75" customHeight="1"/>
  <cols>
    <col min="1" max="1" width="18.42578125" customWidth="1"/>
    <col min="2" max="2" width="41.85546875" customWidth="1"/>
    <col min="3" max="3" width="16.28515625" customWidth="1"/>
    <col min="4" max="9" width="15.42578125" customWidth="1"/>
  </cols>
  <sheetData>
    <row r="1" spans="1:9" ht="26.25">
      <c r="A1" s="136" t="s">
        <v>37</v>
      </c>
      <c r="B1" s="115"/>
      <c r="C1" s="82"/>
      <c r="D1" s="82"/>
      <c r="E1" s="82"/>
      <c r="F1" s="82"/>
      <c r="G1" s="82"/>
      <c r="H1" s="82"/>
      <c r="I1" s="82"/>
    </row>
    <row r="2" spans="1:9" ht="12.75">
      <c r="A2" s="83" t="s">
        <v>262</v>
      </c>
      <c r="B2" s="83" t="s">
        <v>39</v>
      </c>
      <c r="C2" s="84"/>
      <c r="D2" s="84"/>
      <c r="E2" s="84"/>
      <c r="F2" s="84"/>
      <c r="G2" s="84"/>
      <c r="H2" s="84"/>
      <c r="I2" s="84"/>
    </row>
    <row r="3" spans="1:9" ht="12.75">
      <c r="A3" s="83" t="s">
        <v>263</v>
      </c>
      <c r="B3" s="83" t="s">
        <v>264</v>
      </c>
      <c r="C3" s="84"/>
      <c r="D3" s="84"/>
      <c r="E3" s="84"/>
      <c r="F3" s="84"/>
      <c r="G3" s="84"/>
      <c r="H3" s="84"/>
      <c r="I3" s="84"/>
    </row>
    <row r="4" spans="1:9" ht="12.75">
      <c r="A4" s="83" t="s">
        <v>265</v>
      </c>
      <c r="B4" s="85" t="s">
        <v>266</v>
      </c>
      <c r="C4" s="86"/>
      <c r="D4" s="86"/>
      <c r="E4" s="86"/>
      <c r="F4" s="86"/>
      <c r="G4" s="86"/>
      <c r="H4" s="86"/>
      <c r="I4" s="86"/>
    </row>
    <row r="5" spans="1:9" ht="12.75">
      <c r="A5" s="84"/>
      <c r="B5" s="84"/>
      <c r="C5" s="84"/>
      <c r="D5" s="84"/>
      <c r="E5" s="84"/>
      <c r="F5" s="84"/>
      <c r="G5" s="84"/>
      <c r="H5" s="84"/>
      <c r="I5" s="84"/>
    </row>
    <row r="6" spans="1:9" ht="26.25" customHeight="1">
      <c r="A6" s="87" t="s">
        <v>267</v>
      </c>
      <c r="B6" s="88" t="s">
        <v>268</v>
      </c>
      <c r="C6" s="84"/>
      <c r="D6" s="84"/>
      <c r="E6" s="84"/>
      <c r="F6" s="84"/>
      <c r="G6" s="84"/>
      <c r="H6" s="84"/>
      <c r="I6" s="84"/>
    </row>
    <row r="7" spans="1:9" ht="51">
      <c r="A7" s="87" t="s">
        <v>269</v>
      </c>
      <c r="B7" s="90" t="s">
        <v>271</v>
      </c>
      <c r="C7" s="91"/>
      <c r="D7" s="91"/>
      <c r="E7" s="91"/>
      <c r="F7" s="91"/>
      <c r="G7" s="91"/>
      <c r="H7" s="91"/>
      <c r="I7" s="91"/>
    </row>
    <row r="8" spans="1:9" ht="26.25" customHeight="1">
      <c r="A8" s="87" t="s">
        <v>272</v>
      </c>
      <c r="B8" s="90" t="s">
        <v>273</v>
      </c>
      <c r="C8" s="91"/>
      <c r="D8" s="91"/>
      <c r="E8" s="91"/>
      <c r="F8" s="91"/>
      <c r="G8" s="91"/>
      <c r="H8" s="91"/>
      <c r="I8" s="91"/>
    </row>
    <row r="9" spans="1:9" ht="26.25" customHeight="1">
      <c r="A9" s="87" t="s">
        <v>275</v>
      </c>
      <c r="B9" s="88"/>
      <c r="C9" s="84"/>
      <c r="D9" s="84"/>
      <c r="E9" s="84"/>
      <c r="F9" s="84"/>
      <c r="G9" s="84"/>
      <c r="H9" s="84"/>
      <c r="I9" s="84"/>
    </row>
    <row r="10" spans="1:9" ht="26.25" customHeight="1">
      <c r="A10" s="87" t="s">
        <v>276</v>
      </c>
      <c r="B10" s="88"/>
      <c r="C10" s="84"/>
      <c r="D10" s="84"/>
      <c r="E10" s="84"/>
      <c r="F10" s="84"/>
      <c r="G10" s="84"/>
      <c r="H10" s="84"/>
      <c r="I10" s="84"/>
    </row>
    <row r="11" spans="1:9" ht="26.25" customHeight="1">
      <c r="A11" s="87" t="s">
        <v>278</v>
      </c>
      <c r="B11" s="88" t="s">
        <v>279</v>
      </c>
      <c r="C11" s="84"/>
      <c r="D11" s="84"/>
      <c r="E11" s="84"/>
      <c r="F11" s="84"/>
      <c r="G11" s="84"/>
      <c r="H11" s="84"/>
      <c r="I11" s="84"/>
    </row>
    <row r="12" spans="1:9" ht="26.25" customHeight="1">
      <c r="A12" s="87" t="s">
        <v>280</v>
      </c>
      <c r="B12" s="88"/>
      <c r="C12" s="84"/>
      <c r="D12" s="84"/>
      <c r="E12" s="84"/>
      <c r="F12" s="84"/>
      <c r="G12" s="84"/>
      <c r="H12" s="84"/>
      <c r="I12" s="84"/>
    </row>
    <row r="13" spans="1:9" ht="26.25" customHeight="1">
      <c r="A13" s="87" t="s">
        <v>282</v>
      </c>
      <c r="B13" s="88"/>
      <c r="C13" s="84"/>
      <c r="D13" s="84"/>
      <c r="E13" s="84"/>
      <c r="F13" s="84"/>
      <c r="G13" s="84"/>
      <c r="H13" s="84"/>
      <c r="I13" s="84"/>
    </row>
    <row r="14" spans="1:9" ht="26.25" customHeight="1">
      <c r="A14" s="87" t="s">
        <v>283</v>
      </c>
      <c r="B14" s="90" t="s">
        <v>285</v>
      </c>
      <c r="C14" s="91"/>
      <c r="D14" s="91"/>
      <c r="E14" s="91"/>
      <c r="F14" s="91"/>
      <c r="G14" s="91"/>
      <c r="H14" s="91"/>
      <c r="I14" s="91"/>
    </row>
    <row r="15" spans="1:9" ht="26.25" customHeight="1">
      <c r="A15" s="87" t="s">
        <v>286</v>
      </c>
      <c r="B15" s="88"/>
      <c r="C15" s="84"/>
      <c r="D15" s="84"/>
      <c r="E15" s="84"/>
      <c r="F15" s="84"/>
      <c r="G15" s="84"/>
      <c r="H15" s="84"/>
      <c r="I15" s="84"/>
    </row>
    <row r="16" spans="1:9" ht="26.25" customHeight="1">
      <c r="A16" s="87" t="s">
        <v>287</v>
      </c>
      <c r="B16" s="88"/>
      <c r="C16" s="84"/>
      <c r="D16" s="84"/>
      <c r="E16" s="84"/>
      <c r="F16" s="84"/>
      <c r="G16" s="84"/>
      <c r="H16" s="84"/>
      <c r="I16" s="84"/>
    </row>
    <row r="17" spans="1:9" ht="26.25" customHeight="1">
      <c r="A17" s="87"/>
      <c r="B17" s="88"/>
      <c r="C17" s="84"/>
      <c r="D17" s="84"/>
      <c r="E17" s="84"/>
      <c r="F17" s="84"/>
      <c r="G17" s="84"/>
      <c r="H17" s="84"/>
      <c r="I17" s="84"/>
    </row>
    <row r="18" spans="1:9" ht="26.25" customHeight="1">
      <c r="A18" s="87"/>
      <c r="B18" s="88"/>
      <c r="C18" s="84"/>
      <c r="D18" s="84"/>
      <c r="E18" s="84"/>
      <c r="F18" s="84"/>
      <c r="G18" s="84"/>
      <c r="H18" s="84"/>
      <c r="I18" s="84"/>
    </row>
    <row r="19" spans="1:9" ht="26.25" customHeight="1">
      <c r="A19" s="87"/>
      <c r="B19" s="88"/>
      <c r="C19" s="84"/>
      <c r="D19" s="84"/>
      <c r="E19" s="84"/>
      <c r="F19" s="84"/>
      <c r="G19" s="84"/>
      <c r="H19" s="84"/>
      <c r="I19" s="84"/>
    </row>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C47D"/>
    <outlinePr summaryBelow="0" summaryRight="0"/>
  </sheetPr>
  <dimension ref="A1:H21"/>
  <sheetViews>
    <sheetView workbookViewId="0">
      <selection sqref="A1:B1"/>
    </sheetView>
  </sheetViews>
  <sheetFormatPr defaultColWidth="12.5703125" defaultRowHeight="15.75" customHeight="1"/>
  <cols>
    <col min="1" max="1" width="24.28515625" customWidth="1"/>
    <col min="2" max="2" width="49.140625" customWidth="1"/>
    <col min="3" max="3" width="19.42578125" customWidth="1"/>
    <col min="4" max="8" width="18.5703125" customWidth="1"/>
  </cols>
  <sheetData>
    <row r="1" spans="1:8" ht="26.25">
      <c r="A1" s="136" t="s">
        <v>43</v>
      </c>
      <c r="B1" s="115"/>
      <c r="C1" s="82"/>
      <c r="D1" s="82"/>
      <c r="E1" s="82"/>
      <c r="F1" s="82"/>
      <c r="G1" s="82"/>
      <c r="H1" s="82"/>
    </row>
    <row r="2" spans="1:8" ht="12.75">
      <c r="A2" s="83" t="s">
        <v>262</v>
      </c>
      <c r="B2" s="83" t="s">
        <v>39</v>
      </c>
      <c r="C2" s="84"/>
      <c r="D2" s="84"/>
      <c r="E2" s="84"/>
      <c r="F2" s="84"/>
      <c r="G2" s="84"/>
      <c r="H2" s="84"/>
    </row>
    <row r="3" spans="1:8" ht="12.75">
      <c r="A3" s="83" t="s">
        <v>263</v>
      </c>
      <c r="B3" s="83" t="s">
        <v>264</v>
      </c>
      <c r="C3" s="84"/>
      <c r="D3" s="84"/>
      <c r="E3" s="84"/>
      <c r="F3" s="84"/>
      <c r="G3" s="84"/>
      <c r="H3" s="84"/>
    </row>
    <row r="4" spans="1:8" ht="43.5" customHeight="1">
      <c r="A4" s="83" t="s">
        <v>265</v>
      </c>
      <c r="B4" s="89" t="s">
        <v>270</v>
      </c>
      <c r="C4" s="86"/>
      <c r="D4" s="86"/>
      <c r="E4" s="86"/>
      <c r="F4" s="86"/>
      <c r="G4" s="86"/>
      <c r="H4" s="86"/>
    </row>
    <row r="5" spans="1:8" ht="12.75">
      <c r="A5" s="84"/>
      <c r="B5" s="84"/>
      <c r="C5" s="84"/>
      <c r="D5" s="84"/>
      <c r="E5" s="84"/>
      <c r="F5" s="84"/>
      <c r="G5" s="84"/>
      <c r="H5" s="84"/>
    </row>
    <row r="6" spans="1:8" ht="26.25" customHeight="1">
      <c r="A6" s="87" t="s">
        <v>274</v>
      </c>
      <c r="B6" s="88" t="s">
        <v>277</v>
      </c>
      <c r="C6" s="84"/>
      <c r="D6" s="84"/>
      <c r="E6" s="84"/>
      <c r="F6" s="84"/>
      <c r="G6" s="84"/>
      <c r="H6" s="84"/>
    </row>
    <row r="7" spans="1:8" ht="39" customHeight="1">
      <c r="A7" s="87" t="s">
        <v>281</v>
      </c>
      <c r="B7" s="90" t="s">
        <v>284</v>
      </c>
      <c r="C7" s="91"/>
      <c r="D7" s="91"/>
      <c r="E7" s="91"/>
      <c r="F7" s="91"/>
      <c r="G7" s="91"/>
      <c r="H7" s="91"/>
    </row>
    <row r="8" spans="1:8" ht="26.25" customHeight="1">
      <c r="A8" s="87" t="s">
        <v>288</v>
      </c>
      <c r="B8" s="90" t="s">
        <v>289</v>
      </c>
      <c r="C8" s="91"/>
      <c r="D8" s="91"/>
      <c r="E8" s="91"/>
      <c r="F8" s="91"/>
      <c r="G8" s="91"/>
      <c r="H8" s="91"/>
    </row>
    <row r="9" spans="1:8" ht="26.25" customHeight="1">
      <c r="A9" s="87" t="s">
        <v>290</v>
      </c>
      <c r="B9" s="90" t="s">
        <v>291</v>
      </c>
      <c r="C9" s="91"/>
    </row>
    <row r="10" spans="1:8" ht="26.25" customHeight="1">
      <c r="A10" s="87" t="s">
        <v>292</v>
      </c>
      <c r="B10" s="90" t="s">
        <v>293</v>
      </c>
      <c r="C10" s="91"/>
      <c r="D10" s="91"/>
      <c r="E10" s="91"/>
      <c r="F10" s="91"/>
      <c r="G10" s="91"/>
      <c r="H10" s="91"/>
    </row>
    <row r="11" spans="1:8" ht="26.25" customHeight="1">
      <c r="A11" s="87" t="s">
        <v>294</v>
      </c>
      <c r="B11" s="88"/>
      <c r="C11" s="84"/>
      <c r="D11" s="84"/>
      <c r="E11" s="84"/>
      <c r="F11" s="84"/>
      <c r="G11" s="84"/>
      <c r="H11" s="84"/>
    </row>
    <row r="12" spans="1:8" ht="26.25" customHeight="1">
      <c r="A12" s="87" t="s">
        <v>275</v>
      </c>
      <c r="B12" s="88"/>
      <c r="C12" s="84"/>
      <c r="D12" s="84"/>
      <c r="E12" s="84"/>
      <c r="F12" s="84"/>
      <c r="G12" s="84"/>
      <c r="H12" s="84"/>
    </row>
    <row r="13" spans="1:8" ht="26.25" customHeight="1">
      <c r="A13" s="87" t="s">
        <v>276</v>
      </c>
      <c r="B13" s="88"/>
      <c r="C13" s="84"/>
      <c r="D13" s="84"/>
      <c r="E13" s="84"/>
      <c r="F13" s="84"/>
      <c r="G13" s="84"/>
      <c r="H13" s="84"/>
    </row>
    <row r="14" spans="1:8" ht="26.25" customHeight="1">
      <c r="A14" s="87" t="s">
        <v>295</v>
      </c>
      <c r="B14" s="90" t="s">
        <v>296</v>
      </c>
      <c r="C14" s="91"/>
      <c r="D14" s="91"/>
      <c r="E14" s="91"/>
      <c r="F14" s="91"/>
      <c r="G14" s="91"/>
      <c r="H14" s="91"/>
    </row>
    <row r="15" spans="1:8" ht="26.25" customHeight="1">
      <c r="A15" s="87" t="s">
        <v>297</v>
      </c>
      <c r="B15" s="88"/>
      <c r="C15" s="84"/>
      <c r="D15" s="84"/>
      <c r="E15" s="84"/>
      <c r="F15" s="84"/>
      <c r="G15" s="84"/>
      <c r="H15" s="84"/>
    </row>
    <row r="16" spans="1:8" ht="26.25" customHeight="1">
      <c r="A16" s="87" t="s">
        <v>286</v>
      </c>
      <c r="B16" s="88"/>
      <c r="C16" s="84"/>
      <c r="D16" s="84"/>
      <c r="E16" s="84"/>
      <c r="F16" s="84"/>
      <c r="G16" s="84"/>
      <c r="H16" s="84"/>
    </row>
    <row r="17" spans="1:8" ht="26.25" customHeight="1">
      <c r="A17" s="87"/>
      <c r="B17" s="88"/>
      <c r="C17" s="84"/>
      <c r="D17" s="84"/>
      <c r="E17" s="84"/>
      <c r="F17" s="84"/>
      <c r="G17" s="84"/>
      <c r="H17" s="84"/>
    </row>
    <row r="18" spans="1:8" ht="26.25" customHeight="1">
      <c r="A18" s="87"/>
      <c r="B18" s="88"/>
      <c r="C18" s="84"/>
      <c r="D18" s="84"/>
      <c r="E18" s="84"/>
      <c r="F18" s="84"/>
      <c r="G18" s="84"/>
      <c r="H18" s="84"/>
    </row>
    <row r="19" spans="1:8" ht="26.25" customHeight="1">
      <c r="A19" s="87"/>
      <c r="B19" s="88"/>
      <c r="C19" s="84"/>
      <c r="D19" s="84"/>
      <c r="E19" s="84"/>
      <c r="F19" s="84"/>
      <c r="G19" s="84"/>
      <c r="H19" s="84"/>
    </row>
    <row r="20" spans="1:8" ht="26.25" customHeight="1">
      <c r="A20" s="87"/>
      <c r="B20" s="88"/>
      <c r="C20" s="84"/>
      <c r="D20" s="84"/>
      <c r="E20" s="84"/>
      <c r="F20" s="84"/>
      <c r="G20" s="84"/>
      <c r="H20" s="84"/>
    </row>
    <row r="21" spans="1:8" ht="26.25" customHeight="1">
      <c r="A21" s="87"/>
      <c r="B21" s="88"/>
      <c r="C21" s="84"/>
      <c r="D21" s="84"/>
      <c r="E21" s="84"/>
      <c r="F21" s="84"/>
      <c r="G21" s="84"/>
      <c r="H21" s="84"/>
    </row>
  </sheetData>
  <mergeCells count="1">
    <mergeCell ref="A1:B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C47D"/>
    <outlinePr summaryBelow="0" summaryRight="0"/>
  </sheetPr>
  <dimension ref="A1:H10"/>
  <sheetViews>
    <sheetView workbookViewId="0">
      <selection activeCell="I44" sqref="I44"/>
    </sheetView>
  </sheetViews>
  <sheetFormatPr defaultColWidth="12.5703125" defaultRowHeight="15.75" customHeight="1"/>
  <cols>
    <col min="1" max="1" width="18.7109375" customWidth="1"/>
    <col min="2" max="2" width="49.7109375" customWidth="1"/>
    <col min="3" max="8" width="14.7109375" customWidth="1"/>
  </cols>
  <sheetData>
    <row r="1" spans="1:8" ht="26.25">
      <c r="A1" s="137" t="s">
        <v>44</v>
      </c>
      <c r="B1" s="115"/>
      <c r="C1" s="92"/>
      <c r="D1" s="92"/>
      <c r="E1" s="92"/>
      <c r="F1" s="92"/>
      <c r="G1" s="92"/>
      <c r="H1" s="92"/>
    </row>
    <row r="2" spans="1:8" ht="12.75">
      <c r="A2" s="83" t="s">
        <v>34</v>
      </c>
      <c r="B2" s="83" t="s">
        <v>39</v>
      </c>
      <c r="C2" s="84"/>
      <c r="D2" s="84"/>
      <c r="E2" s="84"/>
      <c r="F2" s="84"/>
      <c r="G2" s="84"/>
      <c r="H2" s="84"/>
    </row>
    <row r="3" spans="1:8" ht="12.75">
      <c r="A3" s="83" t="s">
        <v>298</v>
      </c>
      <c r="B3" s="83" t="s">
        <v>264</v>
      </c>
      <c r="C3" s="84"/>
      <c r="D3" s="84"/>
      <c r="E3" s="84"/>
      <c r="F3" s="84"/>
      <c r="G3" s="84"/>
      <c r="H3" s="84"/>
    </row>
    <row r="4" spans="1:8" ht="12.75">
      <c r="A4" s="83" t="s">
        <v>265</v>
      </c>
      <c r="B4" s="85" t="s">
        <v>299</v>
      </c>
      <c r="C4" s="86"/>
      <c r="D4" s="86"/>
      <c r="E4" s="86"/>
      <c r="F4" s="86"/>
      <c r="G4" s="86"/>
      <c r="H4" s="86"/>
    </row>
    <row r="5" spans="1:8" ht="24" customHeight="1">
      <c r="A5" s="93"/>
      <c r="B5" s="93"/>
      <c r="C5" s="93"/>
      <c r="D5" s="93"/>
      <c r="E5" s="93"/>
      <c r="F5" s="93"/>
      <c r="G5" s="93"/>
      <c r="H5" s="93"/>
    </row>
    <row r="6" spans="1:8" ht="12.75">
      <c r="A6" s="93" t="s">
        <v>300</v>
      </c>
      <c r="B6" s="93"/>
      <c r="C6" s="93"/>
      <c r="D6" s="93"/>
      <c r="E6" s="93"/>
      <c r="F6" s="93"/>
      <c r="G6" s="93"/>
      <c r="H6" s="93"/>
    </row>
    <row r="7" spans="1:8" ht="26.25" customHeight="1">
      <c r="A7" s="94" t="s">
        <v>301</v>
      </c>
      <c r="B7" s="95" t="s">
        <v>302</v>
      </c>
      <c r="C7" s="96"/>
      <c r="D7" s="96"/>
      <c r="E7" s="96"/>
      <c r="F7" s="96"/>
      <c r="G7" s="96"/>
      <c r="H7" s="96"/>
    </row>
    <row r="8" spans="1:8" ht="26.25" customHeight="1">
      <c r="A8" s="94" t="s">
        <v>303</v>
      </c>
      <c r="B8" s="95"/>
      <c r="C8" s="96"/>
      <c r="D8" s="96"/>
      <c r="E8" s="96"/>
      <c r="F8" s="96"/>
      <c r="G8" s="96"/>
      <c r="H8" s="96"/>
    </row>
    <row r="9" spans="1:8" ht="26.25" customHeight="1">
      <c r="A9" s="94" t="s">
        <v>304</v>
      </c>
      <c r="B9" s="95"/>
      <c r="C9" s="96"/>
      <c r="D9" s="96"/>
      <c r="E9" s="96"/>
      <c r="F9" s="96"/>
      <c r="G9" s="96"/>
      <c r="H9" s="96"/>
    </row>
    <row r="10" spans="1:8" ht="26.25" customHeight="1">
      <c r="A10" s="94" t="s">
        <v>306</v>
      </c>
      <c r="B10" s="95"/>
      <c r="C10" s="96"/>
      <c r="D10" s="96"/>
      <c r="E10" s="96"/>
      <c r="F10" s="96"/>
      <c r="G10" s="96"/>
      <c r="H10" s="96"/>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C47D"/>
    <outlinePr summaryBelow="0" summaryRight="0"/>
  </sheetPr>
  <dimension ref="A1:H11"/>
  <sheetViews>
    <sheetView workbookViewId="0">
      <selection sqref="A1:B1"/>
    </sheetView>
  </sheetViews>
  <sheetFormatPr defaultColWidth="12.5703125" defaultRowHeight="15.75" customHeight="1"/>
  <cols>
    <col min="1" max="1" width="18.7109375" customWidth="1"/>
    <col min="2" max="2" width="37.5703125" customWidth="1"/>
    <col min="3" max="8" width="13.85546875" customWidth="1"/>
  </cols>
  <sheetData>
    <row r="1" spans="1:8" ht="26.25">
      <c r="A1" s="137" t="s">
        <v>45</v>
      </c>
      <c r="B1" s="115"/>
      <c r="C1" s="92"/>
      <c r="D1" s="92"/>
      <c r="E1" s="92"/>
      <c r="F1" s="92"/>
      <c r="G1" s="92"/>
      <c r="H1" s="92"/>
    </row>
    <row r="2" spans="1:8" ht="12.75">
      <c r="A2" s="83" t="s">
        <v>34</v>
      </c>
      <c r="B2" s="83" t="s">
        <v>46</v>
      </c>
      <c r="C2" s="84"/>
      <c r="D2" s="84"/>
      <c r="E2" s="84"/>
      <c r="F2" s="84"/>
      <c r="G2" s="84"/>
      <c r="H2" s="84"/>
    </row>
    <row r="3" spans="1:8" ht="12.75">
      <c r="A3" s="83" t="s">
        <v>298</v>
      </c>
      <c r="B3" s="83" t="s">
        <v>264</v>
      </c>
      <c r="C3" s="84"/>
      <c r="D3" s="84"/>
      <c r="E3" s="84"/>
      <c r="F3" s="84"/>
      <c r="G3" s="84"/>
      <c r="H3" s="84"/>
    </row>
    <row r="4" spans="1:8" ht="12.75">
      <c r="A4" s="83" t="s">
        <v>265</v>
      </c>
      <c r="B4" s="85" t="s">
        <v>305</v>
      </c>
      <c r="C4" s="86"/>
      <c r="D4" s="86"/>
      <c r="E4" s="86"/>
      <c r="F4" s="86"/>
      <c r="G4" s="86"/>
      <c r="H4" s="86"/>
    </row>
    <row r="5" spans="1:8" ht="12.75">
      <c r="A5" s="93"/>
      <c r="B5" s="93"/>
      <c r="C5" s="93"/>
      <c r="D5" s="93"/>
      <c r="E5" s="93"/>
      <c r="F5" s="93"/>
      <c r="G5" s="93"/>
      <c r="H5" s="93"/>
    </row>
    <row r="6" spans="1:8" ht="12.75">
      <c r="A6" s="93" t="s">
        <v>300</v>
      </c>
      <c r="B6" s="93"/>
      <c r="C6" s="93"/>
      <c r="D6" s="93"/>
      <c r="E6" s="93"/>
      <c r="F6" s="93"/>
      <c r="G6" s="93"/>
      <c r="H6" s="93"/>
    </row>
    <row r="7" spans="1:8" ht="26.25" customHeight="1">
      <c r="A7" s="97" t="s">
        <v>308</v>
      </c>
      <c r="B7" s="98"/>
      <c r="C7" s="99"/>
      <c r="D7" s="99"/>
      <c r="E7" s="99"/>
      <c r="F7" s="99"/>
      <c r="G7" s="99"/>
      <c r="H7" s="99"/>
    </row>
    <row r="8" spans="1:8" ht="26.25" customHeight="1">
      <c r="A8" s="97" t="s">
        <v>309</v>
      </c>
      <c r="B8" s="98"/>
      <c r="C8" s="99"/>
      <c r="D8" s="99"/>
      <c r="E8" s="99"/>
      <c r="F8" s="99"/>
      <c r="G8" s="99"/>
      <c r="H8" s="99"/>
    </row>
    <row r="9" spans="1:8" ht="26.25" customHeight="1">
      <c r="A9" s="100" t="s">
        <v>310</v>
      </c>
      <c r="B9" s="101"/>
      <c r="C9" s="102"/>
      <c r="D9" s="102"/>
      <c r="E9" s="102"/>
      <c r="F9" s="102"/>
      <c r="G9" s="102"/>
      <c r="H9" s="102"/>
    </row>
    <row r="10" spans="1:8" ht="26.25" customHeight="1">
      <c r="A10" s="100" t="s">
        <v>312</v>
      </c>
      <c r="B10" s="101"/>
      <c r="C10" s="102"/>
      <c r="D10" s="102"/>
      <c r="E10" s="102"/>
      <c r="F10" s="102"/>
      <c r="G10" s="102"/>
      <c r="H10" s="102"/>
    </row>
    <row r="11" spans="1:8" ht="26.25" customHeight="1">
      <c r="A11" s="100" t="s">
        <v>313</v>
      </c>
      <c r="B11" s="101"/>
      <c r="C11" s="102"/>
      <c r="D11" s="102"/>
      <c r="E11" s="102"/>
      <c r="F11" s="102"/>
      <c r="G11" s="102"/>
      <c r="H11" s="102"/>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C47D"/>
    <outlinePr summaryBelow="0" summaryRight="0"/>
  </sheetPr>
  <dimension ref="A1:I11"/>
  <sheetViews>
    <sheetView workbookViewId="0">
      <selection sqref="A1:C1"/>
    </sheetView>
  </sheetViews>
  <sheetFormatPr defaultColWidth="12.5703125" defaultRowHeight="15.75" customHeight="1"/>
  <cols>
    <col min="1" max="1" width="13.42578125" customWidth="1"/>
    <col min="2" max="2" width="8.42578125" customWidth="1"/>
    <col min="3" max="3" width="37.5703125" customWidth="1"/>
    <col min="4" max="9" width="14.5703125" customWidth="1"/>
  </cols>
  <sheetData>
    <row r="1" spans="1:9" ht="26.25">
      <c r="A1" s="137" t="s">
        <v>307</v>
      </c>
      <c r="B1" s="115"/>
      <c r="C1" s="115"/>
      <c r="D1" s="92"/>
      <c r="E1" s="92"/>
      <c r="F1" s="92"/>
      <c r="G1" s="92"/>
      <c r="H1" s="92"/>
      <c r="I1" s="92"/>
    </row>
    <row r="2" spans="1:9" ht="12.75">
      <c r="A2" s="138" t="s">
        <v>262</v>
      </c>
      <c r="B2" s="139"/>
      <c r="C2" s="83" t="s">
        <v>311</v>
      </c>
      <c r="D2" s="84"/>
      <c r="E2" s="84"/>
      <c r="F2" s="84"/>
      <c r="G2" s="84"/>
      <c r="H2" s="84"/>
      <c r="I2" s="84"/>
    </row>
    <row r="3" spans="1:9" ht="12.75">
      <c r="A3" s="138" t="s">
        <v>263</v>
      </c>
      <c r="B3" s="139"/>
      <c r="C3" s="83" t="s">
        <v>264</v>
      </c>
      <c r="D3" s="84"/>
      <c r="E3" s="84"/>
      <c r="F3" s="84"/>
      <c r="G3" s="84"/>
      <c r="H3" s="84"/>
      <c r="I3" s="84"/>
    </row>
    <row r="4" spans="1:9" ht="25.5">
      <c r="A4" s="140" t="s">
        <v>265</v>
      </c>
      <c r="B4" s="139"/>
      <c r="C4" s="89" t="s">
        <v>314</v>
      </c>
      <c r="D4" s="103"/>
      <c r="E4" s="103"/>
      <c r="F4" s="103"/>
      <c r="G4" s="103"/>
      <c r="H4" s="103"/>
      <c r="I4" s="103"/>
    </row>
    <row r="5" spans="1:9" ht="12.75">
      <c r="A5" s="104"/>
      <c r="B5" s="104"/>
      <c r="C5" s="96"/>
      <c r="D5" s="96"/>
      <c r="E5" s="96"/>
      <c r="F5" s="96"/>
      <c r="G5" s="96"/>
      <c r="H5" s="96"/>
      <c r="I5" s="96"/>
    </row>
    <row r="6" spans="1:9" ht="12.75">
      <c r="A6" s="104" t="s">
        <v>315</v>
      </c>
      <c r="B6" s="104" t="s">
        <v>300</v>
      </c>
      <c r="C6" s="96"/>
      <c r="D6" s="96"/>
      <c r="E6" s="96"/>
      <c r="F6" s="96"/>
      <c r="G6" s="96"/>
      <c r="H6" s="96"/>
      <c r="I6" s="96"/>
    </row>
    <row r="7" spans="1:9" ht="26.25" customHeight="1">
      <c r="A7" s="97" t="s">
        <v>316</v>
      </c>
      <c r="B7" s="105" t="s">
        <v>309</v>
      </c>
      <c r="C7" s="98"/>
      <c r="D7" s="99"/>
      <c r="E7" s="99"/>
      <c r="F7" s="99"/>
      <c r="G7" s="99"/>
      <c r="H7" s="99"/>
      <c r="I7" s="99"/>
    </row>
    <row r="8" spans="1:9" ht="26.25" customHeight="1">
      <c r="A8" s="97" t="s">
        <v>321</v>
      </c>
      <c r="B8" s="105" t="s">
        <v>309</v>
      </c>
      <c r="C8" s="98"/>
      <c r="D8" s="99"/>
      <c r="E8" s="99"/>
      <c r="F8" s="99"/>
      <c r="G8" s="99"/>
      <c r="H8" s="99"/>
      <c r="I8" s="99"/>
    </row>
    <row r="9" spans="1:9" ht="26.25" customHeight="1">
      <c r="A9" s="97" t="s">
        <v>322</v>
      </c>
      <c r="B9" s="105" t="s">
        <v>323</v>
      </c>
      <c r="C9" s="98"/>
      <c r="D9" s="99"/>
      <c r="E9" s="99"/>
      <c r="F9" s="99"/>
      <c r="G9" s="99"/>
      <c r="H9" s="99"/>
      <c r="I9" s="99"/>
    </row>
    <row r="10" spans="1:9" ht="26.25" customHeight="1">
      <c r="A10" s="97" t="s">
        <v>325</v>
      </c>
      <c r="B10" s="105" t="s">
        <v>323</v>
      </c>
      <c r="C10" s="98"/>
      <c r="D10" s="99"/>
      <c r="E10" s="99"/>
      <c r="F10" s="99"/>
      <c r="G10" s="99"/>
      <c r="H10" s="99"/>
      <c r="I10" s="99"/>
    </row>
    <row r="11" spans="1:9" ht="26.25" customHeight="1">
      <c r="A11" s="97" t="s">
        <v>327</v>
      </c>
      <c r="B11" s="105" t="s">
        <v>323</v>
      </c>
      <c r="C11" s="98"/>
      <c r="D11" s="99"/>
      <c r="E11" s="99"/>
      <c r="F11" s="99"/>
      <c r="G11" s="99"/>
      <c r="H11" s="99"/>
      <c r="I11" s="99"/>
    </row>
  </sheetData>
  <mergeCells count="4">
    <mergeCell ref="A1:C1"/>
    <mergeCell ref="A2:B2"/>
    <mergeCell ref="A3:B3"/>
    <mergeCell ref="A4:B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C47D"/>
    <outlinePr summaryBelow="0" summaryRight="0"/>
  </sheetPr>
  <dimension ref="A1:C20"/>
  <sheetViews>
    <sheetView workbookViewId="0">
      <selection activeCell="C13" sqref="C13"/>
    </sheetView>
  </sheetViews>
  <sheetFormatPr defaultColWidth="12.5703125" defaultRowHeight="15.75" customHeight="1"/>
  <cols>
    <col min="1" max="1" width="26.42578125" customWidth="1"/>
    <col min="2" max="2" width="87.28515625" customWidth="1"/>
    <col min="3" max="3" width="39.140625" customWidth="1"/>
  </cols>
  <sheetData>
    <row r="1" spans="1:3" ht="26.25">
      <c r="A1" s="137" t="s">
        <v>52</v>
      </c>
      <c r="B1" s="115"/>
      <c r="C1" s="92"/>
    </row>
    <row r="2" spans="1:3">
      <c r="A2" s="83" t="s">
        <v>34</v>
      </c>
      <c r="B2" s="83" t="s">
        <v>53</v>
      </c>
      <c r="C2" s="84"/>
    </row>
    <row r="3" spans="1:3">
      <c r="A3" s="83" t="s">
        <v>298</v>
      </c>
      <c r="B3" s="83" t="s">
        <v>317</v>
      </c>
      <c r="C3" s="84"/>
    </row>
    <row r="4" spans="1:3">
      <c r="A4" s="83" t="s">
        <v>265</v>
      </c>
      <c r="B4" s="85" t="s">
        <v>318</v>
      </c>
      <c r="C4" s="86"/>
    </row>
    <row r="5" spans="1:3">
      <c r="A5" s="86"/>
      <c r="B5" s="86"/>
      <c r="C5" s="86"/>
    </row>
    <row r="6" spans="1:3">
      <c r="A6" s="86" t="s">
        <v>319</v>
      </c>
      <c r="B6" s="86" t="s">
        <v>320</v>
      </c>
      <c r="C6" s="86"/>
    </row>
    <row r="7" spans="1:3" ht="12.75">
      <c r="A7" s="141"/>
      <c r="B7" s="115"/>
      <c r="C7" s="106"/>
    </row>
    <row r="8" spans="1:3" ht="12.75">
      <c r="A8" s="107" t="s">
        <v>324</v>
      </c>
      <c r="B8" s="109" t="s">
        <v>326</v>
      </c>
      <c r="C8" s="108"/>
    </row>
    <row r="9" spans="1:3" ht="12.75">
      <c r="A9" s="107" t="s">
        <v>328</v>
      </c>
      <c r="B9" s="109" t="s">
        <v>329</v>
      </c>
      <c r="C9" s="108"/>
    </row>
    <row r="10" spans="1:3" ht="12.75">
      <c r="A10" s="107" t="s">
        <v>330</v>
      </c>
      <c r="B10" s="109" t="s">
        <v>331</v>
      </c>
      <c r="C10" s="108"/>
    </row>
    <row r="11" spans="1:3" ht="12.75">
      <c r="A11" s="107" t="s">
        <v>332</v>
      </c>
      <c r="B11" s="109" t="s">
        <v>333</v>
      </c>
      <c r="C11" s="108"/>
    </row>
    <row r="12" spans="1:3" ht="12.75">
      <c r="A12" s="107" t="s">
        <v>334</v>
      </c>
      <c r="B12" s="109" t="s">
        <v>335</v>
      </c>
      <c r="C12" s="108"/>
    </row>
    <row r="13" spans="1:3" ht="76.5">
      <c r="A13" s="107" t="s">
        <v>336</v>
      </c>
      <c r="B13" s="109" t="s">
        <v>337</v>
      </c>
      <c r="C13" s="110"/>
    </row>
    <row r="14" spans="1:3" ht="38.25">
      <c r="A14" s="107" t="s">
        <v>338</v>
      </c>
      <c r="B14" s="109" t="s">
        <v>339</v>
      </c>
      <c r="C14" s="108"/>
    </row>
    <row r="15" spans="1:3" ht="51">
      <c r="A15" s="107" t="s">
        <v>340</v>
      </c>
      <c r="B15" s="112" t="s">
        <v>341</v>
      </c>
      <c r="C15" s="111"/>
    </row>
    <row r="16" spans="1:3" ht="12.75">
      <c r="A16" s="107" t="s">
        <v>342</v>
      </c>
      <c r="B16" s="112" t="s">
        <v>343</v>
      </c>
      <c r="C16" s="113"/>
    </row>
    <row r="17" spans="1:3" ht="12.75">
      <c r="A17" s="107" t="s">
        <v>344</v>
      </c>
      <c r="B17" s="112" t="s">
        <v>345</v>
      </c>
      <c r="C17" s="113"/>
    </row>
    <row r="18" spans="1:3" ht="25.5">
      <c r="A18" s="107" t="s">
        <v>346</v>
      </c>
      <c r="B18" s="112" t="s">
        <v>347</v>
      </c>
      <c r="C18" s="113"/>
    </row>
    <row r="19" spans="1:3" ht="25.5">
      <c r="A19" s="107" t="s">
        <v>348</v>
      </c>
      <c r="B19" s="112" t="s">
        <v>349</v>
      </c>
      <c r="C19" s="113"/>
    </row>
    <row r="20" spans="1:3" ht="25.5">
      <c r="A20" s="107" t="s">
        <v>350</v>
      </c>
      <c r="B20" s="112" t="s">
        <v>351</v>
      </c>
      <c r="C20" s="113"/>
    </row>
  </sheetData>
  <mergeCells count="2">
    <mergeCell ref="A1:B1"/>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Score </vt:lpstr>
      <vt:lpstr>Important Rules</vt:lpstr>
      <vt:lpstr>Hider Deck -&gt;</vt:lpstr>
      <vt:lpstr>Deck Summary</vt:lpstr>
      <vt:lpstr>💀Curses</vt:lpstr>
      <vt:lpstr>Seeker Questions -&gt;</vt:lpstr>
      <vt:lpstr>1. Matching</vt:lpstr>
      <vt:lpstr>2. Measuring</vt:lpstr>
      <vt:lpstr>3. Thermometer</vt:lpstr>
      <vt:lpstr>4. Radar</vt:lpstr>
      <vt:lpstr>5. Tentacles</vt:lpstr>
      <vt:lpstr>6. Photos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Troy Townsend</cp:lastModifiedBy>
  <dcterms:modified xsi:type="dcterms:W3CDTF">2026-09-29T03:46:49Z</dcterms:modified>
</cp:coreProperties>
</file>